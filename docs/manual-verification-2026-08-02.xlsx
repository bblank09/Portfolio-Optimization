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imulation" sheetId="2" state="visible" r:id="rId4"/>
    <sheet name="Metrics" sheetId="3" state="visible" r:id="rId5"/>
    <sheet name="Comparison" sheetId="4" state="visible" r:id="rId6"/>
    <sheet name="Chec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<sst xmlns="http://schemas.openxmlformats.org/spreadsheetml/2006/main" count="130" uniqueCount="116">
  <si>
    <t xml:space="preserve">Run 2 — cashflow + rebalancing manual verification</t>
  </si>
  <si>
    <t xml:space="preserve">run_id: run_20260802_033353_9ce1844c  |  generated: 2026-08-02T03:33:53Z</t>
  </si>
  <si>
    <t xml:space="preserve">Portfolio parameters</t>
  </si>
  <si>
    <t xml:space="preserve">Initial capital</t>
  </si>
  <si>
    <t xml:space="preserve">Target weight K-SET50</t>
  </si>
  <si>
    <t xml:space="preserve">Target weight M-S50</t>
  </si>
  <si>
    <t xml:space="preserve">Risk-free rate (annual)</t>
  </si>
  <si>
    <t xml:space="preserve">Periods per year (m)</t>
  </si>
  <si>
    <t xml:space="preserve">Monthly contribution</t>
  </si>
  <si>
    <t xml:space="preserve">Transaction cost (bps)</t>
  </si>
  <si>
    <t xml:space="preserve">Slippage (bps)</t>
  </si>
  <si>
    <t xml:space="preserve">Cost rate (txn + slippage, decimal)</t>
  </si>
  <si>
    <t xml:space="preserve">Raw month-end NAV per unit (source: docs/verification/4.3-raw-nav-inputs.csv)</t>
  </si>
  <si>
    <t xml:space="preserve">Date</t>
  </si>
  <si>
    <t xml:space="preserve">2023-01-31</t>
  </si>
  <si>
    <t xml:space="preserve">2023-02-28</t>
  </si>
  <si>
    <t xml:space="preserve">2023-03-31</t>
  </si>
  <si>
    <t xml:space="preserve">2023-04-30</t>
  </si>
  <si>
    <t xml:space="preserve">2023-05-31</t>
  </si>
  <si>
    <t xml:space="preserve">NAV K-SET50</t>
  </si>
  <si>
    <t xml:space="preserve">NAV M-S50</t>
  </si>
  <si>
    <t xml:space="preserve">Monthly portfolio simulation ledger (independent Excel formulas)</t>
  </si>
  <si>
    <t xml:space="preserve">Replicates backend/app/engine/backtest.py's per-period loop exactly, one column per period.</t>
  </si>
  <si>
    <t xml:space="preserve">Return K-SET50 (r_t)</t>
  </si>
  <si>
    <t xml:space="preserve">Return M-S50 (r_t)</t>
  </si>
  <si>
    <t xml:space="preserve">Starting portfolio value</t>
  </si>
  <si>
    <t xml:space="preserve">K-SET50 value after return</t>
  </si>
  <si>
    <t xml:space="preserve">M-S50 value after return</t>
  </si>
  <si>
    <t xml:space="preserve">Cashflow applied (end of period)</t>
  </si>
  <si>
    <t xml:space="preserve">K-SET50 value after cashflow</t>
  </si>
  <si>
    <t xml:space="preserve">M-S50 value after cashflow</t>
  </si>
  <si>
    <t xml:space="preserve">Total value before rebalance</t>
  </si>
  <si>
    <t xml:space="preserve">Target K-SET50 value (60%)</t>
  </si>
  <si>
    <t xml:space="preserve">Target M-S50 value (40%)</t>
  </si>
  <si>
    <t xml:space="preserve">Money turnover = sum|target-current|/2</t>
  </si>
  <si>
    <t xml:space="preserve">Turnover ratio = turnover/total</t>
  </si>
  <si>
    <t xml:space="preserve">Rebalance cost = turnover * cost_rate</t>
  </si>
  <si>
    <t xml:space="preserve">K-SET50 value after cost</t>
  </si>
  <si>
    <t xml:space="preserve">M-S50 value after cost</t>
  </si>
  <si>
    <t xml:space="preserve">Ending portfolio value</t>
  </si>
  <si>
    <t xml:space="preserve">Period performance (cashflow-neutral)</t>
  </si>
  <si>
    <t xml:space="preserve">Metrics — independent Excel formulas (see docs/formula-reference.md for the cited definitions)</t>
  </si>
  <si>
    <t xml:space="preserve">Return &amp; risk</t>
  </si>
  <si>
    <t xml:space="preserve">n (period count)</t>
  </si>
  <si>
    <t xml:space="preserve">TWRR = Π(1+r_t) − 1</t>
  </si>
  <si>
    <t xml:space="preserve">TWRR CAGR = (1+TWRR)^(m/n) − 1</t>
  </si>
  <si>
    <t xml:space="preserve">Volatility = STDEV.S(r_t)·√m</t>
  </si>
  <si>
    <t xml:space="preserve">Sharpe = (CAGR−Rf)/Vol</t>
  </si>
  <si>
    <t xml:space="preserve">Downside deviation = √(mean(min(r_t,0)²))·√m</t>
  </si>
  <si>
    <t xml:space="preserve">Sortino = (CAGR−Rf)/DownsideDev</t>
  </si>
  <si>
    <t xml:space="preserve">VaR 95% = max(0, −PERCENTILE.INC(r_t,0.05))</t>
  </si>
  <si>
    <t xml:space="preserve">VaR 99% = max(0, −PERCENTILE.INC(r_t,0.01))</t>
  </si>
  <si>
    <t xml:space="preserve">Max drawdown = min(V_t/runningPeak_t − 1)</t>
  </si>
  <si>
    <t xml:space="preserve">Calmar = CAGR / |MDD|</t>
  </si>
  <si>
    <t xml:space="preserve">Money-weighted return (IRR)</t>
  </si>
  <si>
    <t xml:space="preserve">Investor cashflow (monthly-spaced, for IRR())</t>
  </si>
  <si>
    <t xml:space="preserve">Monthly IRR = IRR(cashflow array)</t>
  </si>
  <si>
    <t xml:space="preserve">Annual IRR = (1+monthlyIRR)^m − 1</t>
  </si>
  <si>
    <t xml:space="preserve">Benchmark-relative (benchmark = K-SET50)</t>
  </si>
  <si>
    <t xml:space="preserve">Benchmark CAGR = Π(1+R_b,t)^(m/n) − 1</t>
  </si>
  <si>
    <t xml:space="preserve">Beta = COVARIANCE.S(port,bench)/VAR.S(bench)</t>
  </si>
  <si>
    <t xml:space="preserve">Alpha = CAGR − [Rf + Beta·(BenchCAGR−Rf)]</t>
  </si>
  <si>
    <t xml:space="preserve">Tracking error = STDEV.S(port−bench)·√m</t>
  </si>
  <si>
    <t xml:space="preserve">Information ratio = (CAGR−BenchCAGR)/TE</t>
  </si>
  <si>
    <t xml:space="preserve">Correlation (portfolio, benchmark)</t>
  </si>
  <si>
    <t xml:space="preserve">Benchmark excess return = TWRR_port − TWRR_bench</t>
  </si>
  <si>
    <t xml:space="preserve">Asset-level and diversification</t>
  </si>
  <si>
    <t xml:space="preserve">K-SET50 CAGR</t>
  </si>
  <si>
    <t xml:space="preserve">K-SET50 volatility</t>
  </si>
  <si>
    <t xml:space="preserve">M-S50 CAGR</t>
  </si>
  <si>
    <t xml:space="preserve">M-S50 volatility</t>
  </si>
  <si>
    <t xml:space="preserve">Correlation (K-SET50, M-S50) — Pearson, pairwise</t>
  </si>
  <si>
    <t xml:space="preserve">Cashflow and cost accounting</t>
  </si>
  <si>
    <t xml:space="preserve">Total contributed = capital + Σ(cashflow)</t>
  </si>
  <si>
    <t xml:space="preserve">Total withdrawn</t>
  </si>
  <si>
    <t xml:space="preserve">Total costs = Σ(rebalance cost)</t>
  </si>
  <si>
    <t xml:space="preserve">Comparison — Excel (independent) vs App (real API response), 6 decimal places</t>
  </si>
  <si>
    <t xml:space="preserve">App output pulled verbatim from docs/verification/4.3b-result.json (run run_20260802_033353_9ce1844c).</t>
  </si>
  <si>
    <t xml:space="preserve">Metric</t>
  </si>
  <si>
    <t xml:space="preserve">Excel value</t>
  </si>
  <si>
    <t xml:space="preserve">App value</t>
  </si>
  <si>
    <t xml:space="preserve">Diff (rounded 6dp)</t>
  </si>
  <si>
    <t xml:space="preserve">Match?</t>
  </si>
  <si>
    <t xml:space="preserve">TWRR</t>
  </si>
  <si>
    <t xml:space="preserve">TWRR CAGR</t>
  </si>
  <si>
    <t xml:space="preserve">Volatility</t>
  </si>
  <si>
    <t xml:space="preserve">Sharpe ratio</t>
  </si>
  <si>
    <t xml:space="preserve">Sortino ratio</t>
  </si>
  <si>
    <t xml:space="preserve">Calmar ratio</t>
  </si>
  <si>
    <t xml:space="preserve">Value at Risk 95%</t>
  </si>
  <si>
    <t xml:space="preserve">Value at Risk 99%</t>
  </si>
  <si>
    <t xml:space="preserve">Maximum drawdown</t>
  </si>
  <si>
    <t xml:space="preserve">IRR (money-weighted)</t>
  </si>
  <si>
    <t xml:space="preserve">Benchmark excess return</t>
  </si>
  <si>
    <t xml:space="preserve">Beta</t>
  </si>
  <si>
    <t xml:space="preserve">Alpha</t>
  </si>
  <si>
    <t xml:space="preserve">Tracking error</t>
  </si>
  <si>
    <t xml:space="preserve">Information ratio</t>
  </si>
  <si>
    <t xml:space="preserve">Correlation (K-SET50, M-S50)</t>
  </si>
  <si>
    <t xml:space="preserve">Total contributed</t>
  </si>
  <si>
    <t xml:space="preserve">Total costs</t>
  </si>
  <si>
    <t xml:space="preserve">Equity curve (per-period ending value)</t>
  </si>
  <si>
    <t xml:space="preserve">Rebalance turnover &amp; cost (per event)</t>
  </si>
  <si>
    <t xml:space="preserve">2023-02-28 turnover ratio</t>
  </si>
  <si>
    <t xml:space="preserve">2023-02-28 cost</t>
  </si>
  <si>
    <t xml:space="preserve">2023-03-31 turnover ratio</t>
  </si>
  <si>
    <t xml:space="preserve">2023-03-31 cost</t>
  </si>
  <si>
    <t xml:space="preserve">2023-04-30 turnover ratio</t>
  </si>
  <si>
    <t xml:space="preserve">2023-04-30 cost</t>
  </si>
  <si>
    <t xml:space="preserve">2023-05-31 turnover ratio</t>
  </si>
  <si>
    <t xml:space="preserve">2023-05-31 cost</t>
  </si>
  <si>
    <t xml:space="preserve">Checks</t>
  </si>
  <si>
    <t xml:space="preserve">Matches</t>
  </si>
  <si>
    <t xml:space="preserve">Mismatches</t>
  </si>
  <si>
    <t xml:space="preserve">Total comparisons</t>
  </si>
  <si>
    <t xml:space="preserve">All match?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</si>
</sst>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00000"/>
    <numFmt numFmtId="167" formatCode="#,##0.0000"/>
    <numFmt numFmtId="168" formatCode="0.000000%"/>
    <numFmt numFmtId="169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name val="Cambria"/>
      <family val="0"/>
      <charset val="1"/>
    </font>
    <font>
      <sz val="11"/>
      <color rgb="FF008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4"/>
    <col collapsed="false" customWidth="true" hidden="false" outlineLevel="0" max="7" min="3" style="0" width="1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0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0" t="s">
        <v>3</v>
      </c>
      <c r="C6" s="3" t="n">
        <v>100000</v>
      </c>
    </row>
    <row r="7" customFormat="false" ht="15" hidden="false" customHeight="false" outlineLevel="0" collapsed="false">
      <c r="B7" s="0" t="s">
        <v>4</v>
      </c>
      <c r="C7" s="4" t="n">
        <v>0.6</v>
      </c>
    </row>
    <row r="8" customFormat="false" ht="15" hidden="false" customHeight="false" outlineLevel="0" collapsed="false">
      <c r="B8" s="0" t="s">
        <v>5</v>
      </c>
      <c r="C8" s="4" t="n">
        <v>0.4</v>
      </c>
    </row>
    <row r="9" customFormat="false" ht="15" hidden="false" customHeight="false" outlineLevel="0" collapsed="false">
      <c r="B9" s="0" t="s">
        <v>6</v>
      </c>
      <c r="C9" s="4" t="n">
        <v>0.02</v>
      </c>
    </row>
    <row r="10" customFormat="false" ht="15" hidden="false" customHeight="false" outlineLevel="0" collapsed="false">
      <c r="B10" s="0" t="s">
        <v>7</v>
      </c>
      <c r="C10" s="3" t="n">
        <v>12</v>
      </c>
    </row>
    <row r="11" customFormat="false" ht="15" hidden="false" customHeight="false" outlineLevel="0" collapsed="false">
      <c r="B11" s="0" t="s">
        <v>8</v>
      </c>
      <c r="C11" s="3" t="n">
        <v>2000</v>
      </c>
    </row>
    <row r="12" customFormat="false" ht="15" hidden="false" customHeight="false" outlineLevel="0" collapsed="false">
      <c r="B12" s="0" t="s">
        <v>9</v>
      </c>
      <c r="C12" s="3" t="n">
        <v>5</v>
      </c>
    </row>
    <row r="13" customFormat="false" ht="15" hidden="false" customHeight="false" outlineLevel="0" collapsed="false">
      <c r="B13" s="0" t="s">
        <v>10</v>
      </c>
      <c r="C13" s="3" t="n">
        <v>5</v>
      </c>
    </row>
    <row r="14" customFormat="false" ht="15" hidden="false" customHeight="false" outlineLevel="0" collapsed="false">
      <c r="B14" s="0" t="s">
        <v>11</v>
      </c>
      <c r="C14" s="5" t="n">
        <f aca="false">(Inputs!$C$12+Inputs!$C$13)/10000</f>
        <v>0.001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0" t="s">
        <v>13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18</v>
      </c>
    </row>
    <row r="18" customFormat="false" ht="15" hidden="false" customHeight="false" outlineLevel="0" collapsed="false">
      <c r="B18" s="0" t="s">
        <v>19</v>
      </c>
      <c r="C18" s="6" t="n">
        <v>34.63</v>
      </c>
      <c r="D18" s="6" t="n">
        <v>33.8033</v>
      </c>
      <c r="E18" s="6" t="n">
        <v>34.2342</v>
      </c>
      <c r="F18" s="6" t="n">
        <v>32.6194</v>
      </c>
      <c r="G18" s="6" t="n">
        <v>32.7233</v>
      </c>
    </row>
    <row r="19" customFormat="false" ht="15" hidden="false" customHeight="false" outlineLevel="0" collapsed="false">
      <c r="B19" s="0" t="s">
        <v>20</v>
      </c>
      <c r="C19" s="6" t="n">
        <v>23.2908</v>
      </c>
      <c r="D19" s="6" t="n">
        <v>22.7281</v>
      </c>
      <c r="E19" s="6" t="n">
        <v>23.0008</v>
      </c>
      <c r="F19" s="6" t="n">
        <v>21.9503</v>
      </c>
      <c r="G19" s="6" t="n">
        <v>21.4319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4"/>
    <col collapsed="false" customWidth="true" hidden="false" outlineLevel="0" max="7" min="3" style="0" width="15"/>
  </cols>
  <sheetData>
    <row r="2" customFormat="false" ht="17.35" hidden="false" customHeight="false" outlineLevel="0" collapsed="false">
      <c r="B2" s="1" t="s">
        <v>21</v>
      </c>
    </row>
    <row r="3" customFormat="false" ht="15" hidden="false" customHeight="false" outlineLevel="0" collapsed="false">
      <c r="B3" s="0" t="s">
        <v>22</v>
      </c>
    </row>
    <row r="5" customFormat="false" ht="15" hidden="false" customHeight="false" outlineLevel="0" collapsed="false">
      <c r="B5" s="7" t="s">
        <v>13</v>
      </c>
      <c r="C5" s="8" t="str">
        <f aca="false">Inputs!C$17</f>
        <v>2023-01-31</v>
      </c>
      <c r="D5" s="8" t="str">
        <f aca="false">Inputs!D$17</f>
        <v>2023-02-28</v>
      </c>
      <c r="E5" s="8" t="str">
        <f aca="false">Inputs!E$17</f>
        <v>2023-03-31</v>
      </c>
      <c r="F5" s="8" t="str">
        <f aca="false">Inputs!F$17</f>
        <v>2023-04-30</v>
      </c>
      <c r="G5" s="8" t="str">
        <f aca="false">Inputs!G$17</f>
        <v>2023-05-31</v>
      </c>
    </row>
    <row r="6" customFormat="false" ht="15" hidden="false" customHeight="false" outlineLevel="0" collapsed="false">
      <c r="B6" s="7" t="s">
        <v>19</v>
      </c>
      <c r="C6" s="9" t="n">
        <f aca="false">Inputs!C$18</f>
        <v>34.63</v>
      </c>
      <c r="D6" s="9" t="n">
        <f aca="false">Inputs!D$18</f>
        <v>33.8033</v>
      </c>
      <c r="E6" s="9" t="n">
        <f aca="false">Inputs!E$18</f>
        <v>34.2342</v>
      </c>
      <c r="F6" s="9" t="n">
        <f aca="false">Inputs!F$18</f>
        <v>32.6194</v>
      </c>
      <c r="G6" s="9" t="n">
        <f aca="false">Inputs!G$18</f>
        <v>32.7233</v>
      </c>
    </row>
    <row r="7" customFormat="false" ht="15" hidden="false" customHeight="false" outlineLevel="0" collapsed="false">
      <c r="B7" s="7" t="s">
        <v>20</v>
      </c>
      <c r="C7" s="9" t="n">
        <f aca="false">Inputs!C$19</f>
        <v>23.2908</v>
      </c>
      <c r="D7" s="9" t="n">
        <f aca="false">Inputs!D$19</f>
        <v>22.7281</v>
      </c>
      <c r="E7" s="9" t="n">
        <f aca="false">Inputs!E$19</f>
        <v>23.0008</v>
      </c>
      <c r="F7" s="9" t="n">
        <f aca="false">Inputs!F$19</f>
        <v>21.9503</v>
      </c>
      <c r="G7" s="9" t="n">
        <f aca="false">Inputs!G$19</f>
        <v>21.4319</v>
      </c>
    </row>
    <row r="8" customFormat="false" ht="15" hidden="false" customHeight="false" outlineLevel="0" collapsed="false">
      <c r="B8" s="7" t="s">
        <v>23</v>
      </c>
      <c r="D8" s="10" t="n">
        <f aca="false">D6/C6-1</f>
        <v>-0.0238723650014439</v>
      </c>
      <c r="E8" s="10" t="n">
        <f aca="false">E6/D6-1</f>
        <v>0.0127472761535117</v>
      </c>
      <c r="F8" s="10" t="n">
        <f aca="false">F6/E6-1</f>
        <v>-0.047169205063942</v>
      </c>
      <c r="G8" s="10" t="n">
        <f aca="false">G6/F6-1</f>
        <v>0.00318522106476515</v>
      </c>
    </row>
    <row r="9" customFormat="false" ht="15" hidden="false" customHeight="false" outlineLevel="0" collapsed="false">
      <c r="B9" s="7" t="s">
        <v>24</v>
      </c>
      <c r="D9" s="10" t="n">
        <f aca="false">D7/C7-1</f>
        <v>-0.0241597540659831</v>
      </c>
      <c r="E9" s="10" t="n">
        <f aca="false">E7/D7-1</f>
        <v>0.0119983632595773</v>
      </c>
      <c r="F9" s="10" t="n">
        <f aca="false">F7/E7-1</f>
        <v>-0.0456723244408891</v>
      </c>
      <c r="G9" s="10" t="n">
        <f aca="false">G7/F7-1</f>
        <v>-0.0236169892894402</v>
      </c>
    </row>
    <row r="10" customFormat="false" ht="15" hidden="false" customHeight="false" outlineLevel="0" collapsed="false">
      <c r="B10" s="7" t="s">
        <v>25</v>
      </c>
      <c r="D10" s="9" t="n">
        <f aca="false">C24</f>
        <v>100000</v>
      </c>
      <c r="E10" s="9" t="n">
        <f aca="false">D24</f>
        <v>99601.2610399365</v>
      </c>
      <c r="F10" s="9" t="n">
        <f aca="false">E24</f>
        <v>102841.050849952</v>
      </c>
      <c r="G10" s="9" t="n">
        <f aca="false">F24</f>
        <v>100051.659598142</v>
      </c>
    </row>
    <row r="11" customFormat="false" ht="15" hidden="false" customHeight="false" outlineLevel="0" collapsed="false">
      <c r="B11" s="7" t="s">
        <v>26</v>
      </c>
      <c r="C11" s="9" t="n">
        <f aca="false">Inputs!$C$6*Inputs!$C$7</f>
        <v>60000</v>
      </c>
      <c r="D11" s="9" t="n">
        <f aca="false">C22*(1+D8)</f>
        <v>58567.6580999134</v>
      </c>
      <c r="E11" s="9" t="n">
        <f aca="false">D22*(1+E8)</f>
        <v>60522.5434917903</v>
      </c>
      <c r="F11" s="9" t="n">
        <f aca="false">E22*(1+F8)</f>
        <v>58794.0721400517</v>
      </c>
      <c r="G11" s="9" t="n">
        <f aca="false">F22*(1+G8)</f>
        <v>60222.2077511151</v>
      </c>
    </row>
    <row r="12" customFormat="false" ht="15" hidden="false" customHeight="false" outlineLevel="0" collapsed="false">
      <c r="B12" s="7" t="s">
        <v>27</v>
      </c>
      <c r="C12" s="9" t="n">
        <f aca="false">Inputs!$C$6*Inputs!$C$8</f>
        <v>40000</v>
      </c>
      <c r="D12" s="9" t="n">
        <f aca="false">C23*(1+D9)</f>
        <v>39033.6098373607</v>
      </c>
      <c r="E12" s="9" t="n">
        <f aca="false">D23*(1+E9)</f>
        <v>40318.5252604023</v>
      </c>
      <c r="F12" s="9" t="n">
        <f aca="false">E23*(1+F9)</f>
        <v>39257.6244038765</v>
      </c>
      <c r="G12" s="9" t="n">
        <f aca="false">F23*(1+G9)</f>
        <v>39075.4962500087</v>
      </c>
    </row>
    <row r="13" customFormat="false" ht="15" hidden="false" customHeight="false" outlineLevel="0" collapsed="false">
      <c r="B13" s="7" t="s">
        <v>28</v>
      </c>
      <c r="C13" s="6" t="n">
        <v>0</v>
      </c>
      <c r="D13" s="9" t="n">
        <f aca="false">Inputs!$C$11</f>
        <v>2000</v>
      </c>
      <c r="E13" s="9" t="n">
        <f aca="false">Inputs!$C$11</f>
        <v>2000</v>
      </c>
      <c r="F13" s="9" t="n">
        <f aca="false">Inputs!$C$11</f>
        <v>2000</v>
      </c>
      <c r="G13" s="9" t="n">
        <f aca="false">Inputs!$C$11</f>
        <v>2000</v>
      </c>
    </row>
    <row r="14" customFormat="false" ht="15" hidden="false" customHeight="false" outlineLevel="0" collapsed="false">
      <c r="B14" s="7" t="s">
        <v>29</v>
      </c>
      <c r="C14" s="9" t="n">
        <f aca="false">C11+Inputs!$C$7*C13</f>
        <v>60000</v>
      </c>
      <c r="D14" s="9" t="n">
        <f aca="false">D11+Inputs!$C$7*D13</f>
        <v>59767.6580999134</v>
      </c>
      <c r="E14" s="9" t="n">
        <f aca="false">E11+Inputs!$C$7*E13</f>
        <v>61722.5434917903</v>
      </c>
      <c r="F14" s="9" t="n">
        <f aca="false">F11+Inputs!$C$7*F13</f>
        <v>59994.0721400517</v>
      </c>
      <c r="G14" s="9" t="n">
        <f aca="false">G11+Inputs!$C$7*G13</f>
        <v>61422.2077511151</v>
      </c>
    </row>
    <row r="15" customFormat="false" ht="15" hidden="false" customHeight="false" outlineLevel="0" collapsed="false">
      <c r="B15" s="7" t="s">
        <v>30</v>
      </c>
      <c r="C15" s="9" t="n">
        <f aca="false">C12+Inputs!$C$8*C13</f>
        <v>40000</v>
      </c>
      <c r="D15" s="9" t="n">
        <f aca="false">D12+Inputs!$C$8*D13</f>
        <v>39833.6098373607</v>
      </c>
      <c r="E15" s="9" t="n">
        <f aca="false">E12+Inputs!$C$8*E13</f>
        <v>41118.5252604023</v>
      </c>
      <c r="F15" s="9" t="n">
        <f aca="false">F12+Inputs!$C$8*F13</f>
        <v>40057.6244038765</v>
      </c>
      <c r="G15" s="9" t="n">
        <f aca="false">G12+Inputs!$C$8*G13</f>
        <v>39875.4962500087</v>
      </c>
    </row>
    <row r="16" customFormat="false" ht="15" hidden="false" customHeight="false" outlineLevel="0" collapsed="false">
      <c r="B16" s="7" t="s">
        <v>31</v>
      </c>
      <c r="C16" s="9" t="n">
        <f aca="false">C14+C15</f>
        <v>100000</v>
      </c>
      <c r="D16" s="9" t="n">
        <f aca="false">D14+D15</f>
        <v>99601.267937274</v>
      </c>
      <c r="E16" s="9" t="n">
        <f aca="false">E14+E15</f>
        <v>102841.068752193</v>
      </c>
      <c r="F16" s="9" t="n">
        <f aca="false">F14+F15</f>
        <v>100051.696543928</v>
      </c>
      <c r="G16" s="9" t="n">
        <f aca="false">G14+G15</f>
        <v>101297.704001124</v>
      </c>
    </row>
    <row r="17" customFormat="false" ht="15" hidden="false" customHeight="false" outlineLevel="0" collapsed="false">
      <c r="B17" s="7" t="s">
        <v>32</v>
      </c>
      <c r="C17" s="9" t="n">
        <f aca="false">C16*Inputs!$C$7</f>
        <v>60000</v>
      </c>
      <c r="D17" s="9" t="n">
        <f aca="false">D16*Inputs!$C$7</f>
        <v>59760.7607623644</v>
      </c>
      <c r="E17" s="9" t="n">
        <f aca="false">E16*Inputs!$C$7</f>
        <v>61704.6412513156</v>
      </c>
      <c r="F17" s="9" t="n">
        <f aca="false">F16*Inputs!$C$7</f>
        <v>60031.0179263569</v>
      </c>
      <c r="G17" s="9" t="n">
        <f aca="false">G16*Inputs!$C$7</f>
        <v>60778.6224006743</v>
      </c>
    </row>
    <row r="18" customFormat="false" ht="15" hidden="false" customHeight="false" outlineLevel="0" collapsed="false">
      <c r="B18" s="7" t="s">
        <v>33</v>
      </c>
      <c r="C18" s="9" t="n">
        <f aca="false">C16*Inputs!$C$8</f>
        <v>40000</v>
      </c>
      <c r="D18" s="9" t="n">
        <f aca="false">D16*Inputs!$C$8</f>
        <v>39840.5071749096</v>
      </c>
      <c r="E18" s="9" t="n">
        <f aca="false">E16*Inputs!$C$8</f>
        <v>41136.427500877</v>
      </c>
      <c r="F18" s="9" t="n">
        <f aca="false">F16*Inputs!$C$8</f>
        <v>40020.6786175713</v>
      </c>
      <c r="G18" s="9" t="n">
        <f aca="false">G16*Inputs!$C$8</f>
        <v>40519.0816004495</v>
      </c>
    </row>
    <row r="19" customFormat="false" ht="15" hidden="false" customHeight="false" outlineLevel="0" collapsed="false">
      <c r="B19" s="7" t="s">
        <v>34</v>
      </c>
      <c r="C19" s="9" t="n">
        <f aca="false">(ABS(C17-C14)+ABS(C18-C15))/2</f>
        <v>0</v>
      </c>
      <c r="D19" s="9" t="n">
        <f aca="false">(ABS(D17-D14)+ABS(D18-D15))/2</f>
        <v>6.89733754894405</v>
      </c>
      <c r="E19" s="9" t="n">
        <f aca="false">(ABS(E17-E14)+ABS(E18-E15))/2</f>
        <v>17.9022404747811</v>
      </c>
      <c r="F19" s="9" t="n">
        <f aca="false">(ABS(F17-F14)+ABS(F18-F15))/2</f>
        <v>36.9457863052048</v>
      </c>
      <c r="G19" s="9" t="n">
        <f aca="false">(ABS(G17-G14)+ABS(G18-G15))/2</f>
        <v>643.585350440822</v>
      </c>
    </row>
    <row r="20" customFormat="false" ht="15" hidden="false" customHeight="false" outlineLevel="0" collapsed="false">
      <c r="B20" s="7" t="s">
        <v>35</v>
      </c>
      <c r="C20" s="10" t="n">
        <f aca="false">C19/C16</f>
        <v>0</v>
      </c>
      <c r="D20" s="10" t="n">
        <f aca="false">D19/D16</f>
        <v>6.92494954309999E-005</v>
      </c>
      <c r="E20" s="10" t="n">
        <f aca="false">E19/E16</f>
        <v>0.000174076764195427</v>
      </c>
      <c r="F20" s="10" t="n">
        <f aca="false">F19/F16</f>
        <v>0.000369266964793382</v>
      </c>
      <c r="G20" s="10" t="n">
        <f aca="false">G19/G16</f>
        <v>0.0063534051120614</v>
      </c>
    </row>
    <row r="21" customFormat="false" ht="15" hidden="false" customHeight="false" outlineLevel="0" collapsed="false">
      <c r="B21" s="7" t="s">
        <v>36</v>
      </c>
      <c r="C21" s="9" t="n">
        <f aca="false">C19*Inputs!$C$14</f>
        <v>0</v>
      </c>
      <c r="D21" s="9" t="n">
        <f aca="false">D19*Inputs!$C$14</f>
        <v>0.00689733754894405</v>
      </c>
      <c r="E21" s="9" t="n">
        <f aca="false">E19*Inputs!$C$14</f>
        <v>0.0179022404747811</v>
      </c>
      <c r="F21" s="9" t="n">
        <f aca="false">F19*Inputs!$C$14</f>
        <v>0.0369457863052048</v>
      </c>
      <c r="G21" s="9" t="n">
        <f aca="false">G19*Inputs!$C$14</f>
        <v>0.643585350440822</v>
      </c>
    </row>
    <row r="22" customFormat="false" ht="15" hidden="false" customHeight="false" outlineLevel="0" collapsed="false">
      <c r="B22" s="7" t="s">
        <v>37</v>
      </c>
      <c r="C22" s="9" t="n">
        <f aca="false">C17-(C17/C16)*C21</f>
        <v>60000</v>
      </c>
      <c r="D22" s="9" t="n">
        <f aca="false">D17-(D17/D16)*D21</f>
        <v>59760.7566239619</v>
      </c>
      <c r="E22" s="9" t="n">
        <f aca="false">E17-(E17/E16)*E21</f>
        <v>61704.6305099713</v>
      </c>
      <c r="F22" s="9" t="n">
        <f aca="false">F17-(F17/F16)*F21</f>
        <v>60030.9957588851</v>
      </c>
      <c r="G22" s="9" t="n">
        <f aca="false">G17-(G17/G16)*G21</f>
        <v>60778.236249464</v>
      </c>
    </row>
    <row r="23" customFormat="false" ht="15" hidden="false" customHeight="false" outlineLevel="0" collapsed="false">
      <c r="B23" s="7" t="s">
        <v>38</v>
      </c>
      <c r="C23" s="9" t="n">
        <f aca="false">C18-(C18/C16)*C21</f>
        <v>40000</v>
      </c>
      <c r="D23" s="9" t="n">
        <f aca="false">D18-(D18/D16)*D21</f>
        <v>39840.5044159746</v>
      </c>
      <c r="E23" s="9" t="n">
        <f aca="false">E18-(E18/E16)*E21</f>
        <v>41136.4203399809</v>
      </c>
      <c r="F23" s="9" t="n">
        <f aca="false">F18-(F18/F16)*F21</f>
        <v>40020.6638392567</v>
      </c>
      <c r="G23" s="9" t="n">
        <f aca="false">G18-(G18/G16)*G21</f>
        <v>40518.8241663094</v>
      </c>
    </row>
    <row r="24" customFormat="false" ht="15" hidden="false" customHeight="false" outlineLevel="0" collapsed="false">
      <c r="B24" s="2" t="s">
        <v>39</v>
      </c>
      <c r="C24" s="9" t="n">
        <f aca="false">C22+C23</f>
        <v>100000</v>
      </c>
      <c r="D24" s="9" t="n">
        <f aca="false">D22+D23</f>
        <v>99601.2610399365</v>
      </c>
      <c r="E24" s="9" t="n">
        <f aca="false">E22+E23</f>
        <v>102841.050849952</v>
      </c>
      <c r="F24" s="9" t="n">
        <f aca="false">F22+F23</f>
        <v>100051.659598142</v>
      </c>
      <c r="G24" s="9" t="n">
        <f aca="false">G22+G23</f>
        <v>101297.060415773</v>
      </c>
    </row>
    <row r="25" customFormat="false" ht="15" hidden="false" customHeight="false" outlineLevel="0" collapsed="false">
      <c r="B25" s="2" t="s">
        <v>40</v>
      </c>
      <c r="D25" s="10" t="n">
        <f aca="false">(D24-D13)/D10-1</f>
        <v>-0.0239873896006352</v>
      </c>
      <c r="E25" s="10" t="n">
        <f aca="false">(E24-E13)/E10-1</f>
        <v>0.0124475312568435</v>
      </c>
      <c r="F25" s="10" t="n">
        <f aca="false">(F24-F13)/F10-1</f>
        <v>-0.0465708120660703</v>
      </c>
      <c r="G25" s="10" t="n">
        <f aca="false">(G24-G13)/G10-1</f>
        <v>-0.00754209560740204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8"/>
    <col collapsed="false" customWidth="true" hidden="false" outlineLevel="0" max="3" min="3" style="0" width="16"/>
  </cols>
  <sheetData>
    <row r="2" customFormat="false" ht="17.35" hidden="false" customHeight="false" outlineLevel="0" collapsed="false">
      <c r="B2" s="1" t="s">
        <v>41</v>
      </c>
    </row>
    <row r="4" customFormat="false" ht="15" hidden="false" customHeight="false" outlineLevel="0" collapsed="false">
      <c r="B4" s="2" t="s">
        <v>42</v>
      </c>
    </row>
    <row r="5" customFormat="false" ht="15" hidden="false" customHeight="false" outlineLevel="0" collapsed="false">
      <c r="B5" s="0" t="s">
        <v>43</v>
      </c>
      <c r="C5" s="11" t="n">
        <f aca="false">COUNT(Simulation!D25:G25)</f>
        <v>4</v>
      </c>
    </row>
    <row r="6" customFormat="false" ht="15" hidden="false" customHeight="false" outlineLevel="0" collapsed="false">
      <c r="B6" s="0" t="s">
        <v>44</v>
      </c>
      <c r="C6" s="10" t="n">
        <f aca="false">EXP(SUMPRODUCT(LN(1+Simulation!D25:G25)))-1</f>
        <v>-0.0649636539086027</v>
      </c>
    </row>
    <row r="7" customFormat="false" ht="15" hidden="false" customHeight="false" outlineLevel="0" collapsed="false">
      <c r="B7" s="0" t="s">
        <v>45</v>
      </c>
      <c r="C7" s="10" t="n">
        <f aca="false">(1+Metrics!$C$6)^(Inputs!$C$10/Metrics!$C$5)-1</f>
        <v>-0.182504297309184</v>
      </c>
    </row>
    <row r="8" customFormat="false" ht="15" hidden="false" customHeight="false" outlineLevel="0" collapsed="false">
      <c r="B8" s="0" t="s">
        <v>46</v>
      </c>
      <c r="C8" s="10" t="n">
        <f aca="false">STDEV(Simulation!D25:G25)*SQRT(Inputs!$C$10)</f>
        <v>0.0866830598319599</v>
      </c>
    </row>
    <row r="9" customFormat="false" ht="15" hidden="false" customHeight="false" outlineLevel="0" collapsed="false">
      <c r="B9" s="0" t="s">
        <v>47</v>
      </c>
      <c r="C9" s="5" t="n">
        <f aca="false">(Metrics!$C$7-Inputs!$C$9)/Metrics!$C$8</f>
        <v>-2.33614615937359</v>
      </c>
    </row>
    <row r="10" customFormat="false" ht="15" hidden="false" customHeight="false" outlineLevel="0" collapsed="false">
      <c r="B10" s="0" t="s">
        <v>48</v>
      </c>
      <c r="C10" s="10" t="n">
        <f aca="false">SQRT(SUMPRODUCT(((Simulation!D25:G25&lt;0)*Simulation!D25:G25)^2)/Metrics!$C$5)*SQRT(Inputs!$C$10)</f>
        <v>0.0916698195017928</v>
      </c>
    </row>
    <row r="11" customFormat="false" ht="15" hidden="false" customHeight="false" outlineLevel="0" collapsed="false">
      <c r="B11" s="0" t="s">
        <v>49</v>
      </c>
      <c r="C11" s="5" t="n">
        <f aca="false">(Metrics!$C$7-Inputs!$C$9)/Metrics!$C$10</f>
        <v>-2.20906180910745</v>
      </c>
    </row>
    <row r="12" customFormat="false" ht="15" hidden="false" customHeight="false" outlineLevel="0" collapsed="false">
      <c r="B12" s="0" t="s">
        <v>50</v>
      </c>
      <c r="C12" s="10" t="n">
        <f aca="false">MAX(0,-PERCENTILE(Simulation!D25:G25,0.05))</f>
        <v>0.043183298696255</v>
      </c>
    </row>
    <row r="13" customFormat="false" ht="15" hidden="false" customHeight="false" outlineLevel="0" collapsed="false">
      <c r="B13" s="0" t="s">
        <v>51</v>
      </c>
      <c r="C13" s="10" t="n">
        <f aca="false">MAX(0,-PERCENTILE(Simulation!D25:G25,0.01))</f>
        <v>0.0458933093921072</v>
      </c>
    </row>
    <row r="14" customFormat="false" ht="15" hidden="false" customHeight="false" outlineLevel="0" collapsed="false">
      <c r="B14" s="0" t="s">
        <v>52</v>
      </c>
      <c r="C14" s="10" t="n">
        <f aca="false">MIN((Simulation!$C$24/MAX(Simulation!$C$24)-1),(Simulation!$D$24/MAX(Simulation!$C$24:$D$24)-1),(Simulation!$E$24/MAX(Simulation!$C$24:$E$24)-1),(Simulation!$F$24/MAX(Simulation!$C$24:$F$24)-1),(Simulation!$G$24/MAX(Simulation!$C$24:$G$24)-1))</f>
        <v>-0.0271233250609244</v>
      </c>
    </row>
    <row r="15" customFormat="false" ht="15" hidden="false" customHeight="false" outlineLevel="0" collapsed="false">
      <c r="B15" s="0" t="s">
        <v>53</v>
      </c>
      <c r="C15" s="5" t="n">
        <f aca="false">IFERROR(Metrics!$C$7/ABS(Metrics!$C$14),"n/a")</f>
        <v>-6.72868451413102</v>
      </c>
    </row>
    <row r="16" customFormat="false" ht="15" hidden="false" customHeight="false" outlineLevel="0" collapsed="false">
      <c r="B16" s="2" t="s">
        <v>54</v>
      </c>
    </row>
    <row r="17" customFormat="false" ht="15" hidden="false" customHeight="false" outlineLevel="0" collapsed="false">
      <c r="B17" s="0" t="s">
        <v>55</v>
      </c>
      <c r="C17" s="9" t="n">
        <f aca="false">-Inputs!$C$6</f>
        <v>-100000</v>
      </c>
      <c r="D17" s="9" t="n">
        <f aca="false">-Simulation!D13</f>
        <v>-2000</v>
      </c>
      <c r="E17" s="9" t="n">
        <f aca="false">-Simulation!E13</f>
        <v>-2000</v>
      </c>
      <c r="F17" s="9" t="n">
        <f aca="false">-Simulation!F13</f>
        <v>-2000</v>
      </c>
      <c r="G17" s="9" t="n">
        <f aca="false">-Simulation!G13+Simulation!G24</f>
        <v>99297.0604157734</v>
      </c>
    </row>
    <row r="18" customFormat="false" ht="15" hidden="false" customHeight="false" outlineLevel="0" collapsed="false">
      <c r="B18" s="0" t="s">
        <v>56</v>
      </c>
      <c r="C18" s="10" t="n">
        <f aca="false">IRR(Metrics!$C$17:$G$17)</f>
        <v>-0.016675105167325</v>
      </c>
    </row>
    <row r="19" customFormat="false" ht="15" hidden="false" customHeight="false" outlineLevel="0" collapsed="false">
      <c r="B19" s="0" t="s">
        <v>57</v>
      </c>
      <c r="C19" s="10" t="n">
        <f aca="false">(1+Metrics!$C$18)^Inputs!$C$10-1</f>
        <v>-0.182732155293418</v>
      </c>
    </row>
    <row r="20" customFormat="false" ht="15" hidden="false" customHeight="false" outlineLevel="0" collapsed="false">
      <c r="B20" s="2" t="s">
        <v>58</v>
      </c>
    </row>
    <row r="21" customFormat="false" ht="15" hidden="false" customHeight="false" outlineLevel="0" collapsed="false">
      <c r="B21" s="0" t="s">
        <v>59</v>
      </c>
      <c r="C21" s="10" t="n">
        <f aca="false">(EXP(SUMPRODUCT(LN(1+Simulation!D8:G8))))^(Inputs!$C$10/Metrics!$C$5)-1</f>
        <v>-0.156249958878651</v>
      </c>
    </row>
    <row r="22" customFormat="false" ht="15" hidden="false" customHeight="false" outlineLevel="0" collapsed="false">
      <c r="B22" s="0" t="s">
        <v>60</v>
      </c>
      <c r="C22" s="5" t="n">
        <f aca="false">(SUMPRODUCT((Simulation!D25:G25-AVERAGE(Simulation!D25:G25))*(Simulation!D8:G8-AVERAGE(Simulation!D8:G8)))/(COUNT(Simulation!D25:G25)-1))/VAR(Simulation!D8:G8)</f>
        <v>0.905474155574046</v>
      </c>
    </row>
    <row r="23" customFormat="false" ht="15" hidden="false" customHeight="false" outlineLevel="0" collapsed="false">
      <c r="B23" s="0" t="s">
        <v>61</v>
      </c>
      <c r="C23" s="10" t="n">
        <f aca="false">Metrics!$C$7-(Inputs!$C$9+Metrics!$C$22*(Metrics!$C$21-Inputs!$C$9))</f>
        <v>-0.0429145146235769</v>
      </c>
    </row>
    <row r="24" customFormat="false" ht="15" hidden="false" customHeight="false" outlineLevel="0" collapsed="false">
      <c r="B24" s="0" t="s">
        <v>62</v>
      </c>
      <c r="C24" s="10" t="n">
        <f aca="false">SQRT(SUMPRODUCT((Simulation!D25:G25-Simulation!D8:G8-(AVERAGE(Simulation!D25:G25)-AVERAGE(Simulation!D8:G8)))^2)/(COUNT(Simulation!D25:G25)-1))*SQRT(Inputs!$C$10)</f>
        <v>0.0187343650449929</v>
      </c>
    </row>
    <row r="25" customFormat="false" ht="15" hidden="false" customHeight="false" outlineLevel="0" collapsed="false">
      <c r="B25" s="0" t="s">
        <v>63</v>
      </c>
      <c r="C25" s="5" t="n">
        <f aca="false">(Metrics!$C$7-Metrics!$C$21)/Metrics!$C$24</f>
        <v>-1.40139996031249</v>
      </c>
    </row>
    <row r="26" customFormat="false" ht="15" hidden="false" customHeight="false" outlineLevel="0" collapsed="false">
      <c r="B26" s="0" t="s">
        <v>64</v>
      </c>
      <c r="C26" s="5" t="n">
        <f aca="false">CORREL(Simulation!D25:G25,Simulation!D8:G8)</f>
        <v>0.981729858825484</v>
      </c>
    </row>
    <row r="27" customFormat="false" ht="15" hidden="false" customHeight="false" outlineLevel="0" collapsed="false">
      <c r="B27" s="0" t="s">
        <v>65</v>
      </c>
      <c r="C27" s="10" t="n">
        <f aca="false">Metrics!$C$6-(EXP(SUMPRODUCT(LN(1+Simulation!D8:G8)))-1)</f>
        <v>-0.00990445668076556</v>
      </c>
    </row>
    <row r="28" customFormat="false" ht="15" hidden="false" customHeight="false" outlineLevel="0" collapsed="false">
      <c r="B28" s="2" t="s">
        <v>66</v>
      </c>
    </row>
    <row r="29" customFormat="false" ht="15" hidden="false" customHeight="false" outlineLevel="0" collapsed="false">
      <c r="B29" s="0" t="s">
        <v>67</v>
      </c>
      <c r="C29" s="10" t="n">
        <f aca="false">(EXP(SUMPRODUCT(LN(1+Simulation!D8:G8))))^(Inputs!$C$10/Metrics!$C$5)-1</f>
        <v>-0.156249958878651</v>
      </c>
    </row>
    <row r="30" customFormat="false" ht="15" hidden="false" customHeight="false" outlineLevel="0" collapsed="false">
      <c r="B30" s="0" t="s">
        <v>68</v>
      </c>
      <c r="C30" s="10" t="n">
        <f aca="false">STDEV(Simulation!D8:G8)*SQRT(Inputs!$C$10)</f>
        <v>0.093983188330141</v>
      </c>
    </row>
    <row r="31" customFormat="false" ht="15" hidden="false" customHeight="false" outlineLevel="0" collapsed="false">
      <c r="B31" s="0" t="s">
        <v>69</v>
      </c>
      <c r="C31" s="10" t="n">
        <f aca="false">(EXP(SUMPRODUCT(LN(1+Simulation!D9:G9))))^(Inputs!$C$10/Metrics!$C$5)-1</f>
        <v>-0.220836132886855</v>
      </c>
    </row>
    <row r="32" customFormat="false" ht="15" hidden="false" customHeight="false" outlineLevel="0" collapsed="false">
      <c r="B32" s="0" t="s">
        <v>70</v>
      </c>
      <c r="C32" s="10" t="n">
        <f aca="false">STDEV(Simulation!D9:G9)*SQRT(Inputs!$C$10)</f>
        <v>0.0827725443123817</v>
      </c>
    </row>
    <row r="33" customFormat="false" ht="15" hidden="false" customHeight="false" outlineLevel="0" collapsed="false">
      <c r="B33" s="0" t="s">
        <v>71</v>
      </c>
      <c r="C33" s="5" t="n">
        <f aca="false">CORREL(Simulation!D8:G8,Simulation!D9:G9)</f>
        <v>0.86724837096827</v>
      </c>
    </row>
    <row r="34" customFormat="false" ht="15" hidden="false" customHeight="false" outlineLevel="0" collapsed="false">
      <c r="B34" s="2" t="s">
        <v>72</v>
      </c>
    </row>
    <row r="35" customFormat="false" ht="15" hidden="false" customHeight="false" outlineLevel="0" collapsed="false">
      <c r="B35" s="0" t="s">
        <v>73</v>
      </c>
      <c r="C35" s="9" t="n">
        <f aca="false">Inputs!$C$6+SUM(Simulation!D13:G13)</f>
        <v>108000</v>
      </c>
    </row>
    <row r="36" customFormat="false" ht="15" hidden="false" customHeight="false" outlineLevel="0" collapsed="false">
      <c r="B36" s="0" t="s">
        <v>74</v>
      </c>
      <c r="C36" s="9" t="n">
        <f aca="false">0</f>
        <v>0</v>
      </c>
    </row>
    <row r="37" customFormat="false" ht="15" hidden="false" customHeight="false" outlineLevel="0" collapsed="false">
      <c r="B37" s="0" t="s">
        <v>75</v>
      </c>
      <c r="C37" s="9" t="n">
        <f aca="false">SUM(Simulation!D21:G21)</f>
        <v>0.705330714769752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0"/>
    <col collapsed="false" customWidth="true" hidden="false" outlineLevel="0" max="6" min="3" style="0" width="16"/>
  </cols>
  <sheetData>
    <row r="2" customFormat="false" ht="17.35" hidden="false" customHeight="false" outlineLevel="0" collapsed="false">
      <c r="B2" s="1" t="s">
        <v>76</v>
      </c>
    </row>
    <row r="3" customFormat="false" ht="15" hidden="false" customHeight="false" outlineLevel="0" collapsed="false">
      <c r="B3" s="0" t="s">
        <v>77</v>
      </c>
    </row>
    <row r="5" customFormat="false" ht="15" hidden="false" customHeight="false" outlineLevel="0" collapsed="false">
      <c r="B5" s="12" t="s">
        <v>78</v>
      </c>
      <c r="C5" s="12" t="s">
        <v>79</v>
      </c>
      <c r="D5" s="12" t="s">
        <v>80</v>
      </c>
      <c r="E5" s="12" t="s">
        <v>81</v>
      </c>
      <c r="F5" s="12" t="s">
        <v>82</v>
      </c>
    </row>
    <row r="6" customFormat="false" ht="15" hidden="false" customHeight="false" outlineLevel="0" collapsed="false">
      <c r="B6" s="0" t="s">
        <v>83</v>
      </c>
      <c r="C6" s="13" t="n">
        <f aca="false">Metrics!$C$6</f>
        <v>-0.0649636539086027</v>
      </c>
      <c r="D6" s="14" t="n">
        <v>-0.0649636539086026</v>
      </c>
      <c r="E6" s="5" t="n">
        <f aca="false">ROUND(C6-D6,6)</f>
        <v>0</v>
      </c>
      <c r="F6" s="15" t="str">
        <f aca="false">IF(E6=0,"MATCH","MISMATCH")</f>
        <v>MATCH</v>
      </c>
    </row>
    <row r="7" customFormat="false" ht="15" hidden="false" customHeight="false" outlineLevel="0" collapsed="false">
      <c r="B7" s="0" t="s">
        <v>84</v>
      </c>
      <c r="C7" s="13" t="n">
        <f aca="false">Metrics!$C$7</f>
        <v>-0.182504297309184</v>
      </c>
      <c r="D7" s="14" t="n">
        <v>-0.182504297309184</v>
      </c>
      <c r="E7" s="5" t="n">
        <f aca="false">ROUND(C7-D7,6)</f>
        <v>0</v>
      </c>
      <c r="F7" s="15" t="str">
        <f aca="false">IF(E7=0,"MATCH","MISMATCH")</f>
        <v>MATCH</v>
      </c>
    </row>
    <row r="8" customFormat="false" ht="15" hidden="false" customHeight="false" outlineLevel="0" collapsed="false">
      <c r="B8" s="0" t="s">
        <v>85</v>
      </c>
      <c r="C8" s="13" t="n">
        <f aca="false">Metrics!$C$8</f>
        <v>0.0866830598319599</v>
      </c>
      <c r="D8" s="14" t="n">
        <v>0.0866830598319599</v>
      </c>
      <c r="E8" s="5" t="n">
        <f aca="false">ROUND(C8-D8,6)</f>
        <v>0</v>
      </c>
      <c r="F8" s="15" t="str">
        <f aca="false">IF(E8=0,"MATCH","MISMATCH")</f>
        <v>MATCH</v>
      </c>
    </row>
    <row r="9" customFormat="false" ht="15" hidden="false" customHeight="false" outlineLevel="0" collapsed="false">
      <c r="B9" s="0" t="s">
        <v>86</v>
      </c>
      <c r="C9" s="13" t="n">
        <f aca="false">Metrics!$C$9</f>
        <v>-2.33614615937359</v>
      </c>
      <c r="D9" s="14" t="n">
        <v>-2.33614615937359</v>
      </c>
      <c r="E9" s="5" t="n">
        <f aca="false">ROUND(C9-D9,6)</f>
        <v>0</v>
      </c>
      <c r="F9" s="15" t="str">
        <f aca="false">IF(E9=0,"MATCH","MISMATCH")</f>
        <v>MATCH</v>
      </c>
    </row>
    <row r="10" customFormat="false" ht="15" hidden="false" customHeight="false" outlineLevel="0" collapsed="false">
      <c r="B10" s="0" t="s">
        <v>87</v>
      </c>
      <c r="C10" s="13" t="n">
        <f aca="false">Metrics!$C$11</f>
        <v>-2.20906180910745</v>
      </c>
      <c r="D10" s="14" t="n">
        <v>-2.20906180910745</v>
      </c>
      <c r="E10" s="5" t="n">
        <f aca="false">ROUND(C10-D10,6)</f>
        <v>0</v>
      </c>
      <c r="F10" s="15" t="str">
        <f aca="false">IF(E10=0,"MATCH","MISMATCH")</f>
        <v>MATCH</v>
      </c>
    </row>
    <row r="11" customFormat="false" ht="15" hidden="false" customHeight="false" outlineLevel="0" collapsed="false">
      <c r="B11" s="0" t="s">
        <v>88</v>
      </c>
      <c r="C11" s="13" t="n">
        <f aca="false">Metrics!$C$15</f>
        <v>-6.72868451413102</v>
      </c>
      <c r="D11" s="14" t="n">
        <v>-6.72868451413102</v>
      </c>
      <c r="E11" s="5" t="n">
        <f aca="false">ROUND(C11-D11,6)</f>
        <v>0</v>
      </c>
      <c r="F11" s="15" t="str">
        <f aca="false">IF(E11=0,"MATCH","MISMATCH")</f>
        <v>MATCH</v>
      </c>
    </row>
    <row r="12" customFormat="false" ht="15" hidden="false" customHeight="false" outlineLevel="0" collapsed="false">
      <c r="B12" s="0" t="s">
        <v>89</v>
      </c>
      <c r="C12" s="13" t="n">
        <f aca="false">Metrics!$C$12</f>
        <v>0.043183298696255</v>
      </c>
      <c r="D12" s="14" t="n">
        <v>0.043183298696255</v>
      </c>
      <c r="E12" s="5" t="n">
        <f aca="false">ROUND(C12-D12,6)</f>
        <v>0</v>
      </c>
      <c r="F12" s="15" t="str">
        <f aca="false">IF(E12=0,"MATCH","MISMATCH")</f>
        <v>MATCH</v>
      </c>
    </row>
    <row r="13" customFormat="false" ht="15" hidden="false" customHeight="false" outlineLevel="0" collapsed="false">
      <c r="B13" s="0" t="s">
        <v>90</v>
      </c>
      <c r="C13" s="13" t="n">
        <f aca="false">Metrics!$C$13</f>
        <v>0.0458933093921072</v>
      </c>
      <c r="D13" s="14" t="n">
        <v>0.0458933093921072</v>
      </c>
      <c r="E13" s="5" t="n">
        <f aca="false">ROUND(C13-D13,6)</f>
        <v>0</v>
      </c>
      <c r="F13" s="15" t="str">
        <f aca="false">IF(E13=0,"MATCH","MISMATCH")</f>
        <v>MATCH</v>
      </c>
    </row>
    <row r="14" customFormat="false" ht="15" hidden="false" customHeight="false" outlineLevel="0" collapsed="false">
      <c r="B14" s="0" t="s">
        <v>91</v>
      </c>
      <c r="C14" s="13" t="n">
        <f aca="false">Metrics!$C$14</f>
        <v>-0.0271233250609244</v>
      </c>
      <c r="D14" s="14" t="n">
        <v>-0.0271233250609244</v>
      </c>
      <c r="E14" s="5" t="n">
        <f aca="false">ROUND(C14-D14,6)</f>
        <v>0</v>
      </c>
      <c r="F14" s="15" t="str">
        <f aca="false">IF(E14=0,"MATCH","MISMATCH")</f>
        <v>MATCH</v>
      </c>
    </row>
    <row r="15" customFormat="false" ht="15" hidden="false" customHeight="false" outlineLevel="0" collapsed="false">
      <c r="B15" s="0" t="s">
        <v>92</v>
      </c>
      <c r="C15" s="13" t="n">
        <f aca="false">Metrics!$C$19</f>
        <v>-0.182732155293418</v>
      </c>
      <c r="D15" s="14" t="n">
        <v>-0.182732155293417</v>
      </c>
      <c r="E15" s="5" t="n">
        <f aca="false">ROUND(C15-D15,6)</f>
        <v>0</v>
      </c>
      <c r="F15" s="15" t="str">
        <f aca="false">IF(E15=0,"MATCH","MISMATCH")</f>
        <v>MATCH</v>
      </c>
    </row>
    <row r="16" customFormat="false" ht="15" hidden="false" customHeight="false" outlineLevel="0" collapsed="false">
      <c r="B16" s="0" t="s">
        <v>93</v>
      </c>
      <c r="C16" s="13" t="n">
        <f aca="false">Metrics!$C$27</f>
        <v>-0.00990445668076556</v>
      </c>
      <c r="D16" s="14" t="n">
        <v>-0.00990445668076545</v>
      </c>
      <c r="E16" s="5" t="n">
        <f aca="false">ROUND(C16-D16,6)</f>
        <v>-0</v>
      </c>
      <c r="F16" s="15" t="str">
        <f aca="false">IF(E16=0,"MATCH","MISMATCH")</f>
        <v>MATCH</v>
      </c>
    </row>
    <row r="17" customFormat="false" ht="15" hidden="false" customHeight="false" outlineLevel="0" collapsed="false">
      <c r="B17" s="0" t="s">
        <v>94</v>
      </c>
      <c r="C17" s="13" t="n">
        <f aca="false">Metrics!$C$22</f>
        <v>0.905474155574046</v>
      </c>
      <c r="D17" s="14" t="n">
        <v>0.905474155574045</v>
      </c>
      <c r="E17" s="5" t="n">
        <f aca="false">ROUND(C17-D17,6)</f>
        <v>0</v>
      </c>
      <c r="F17" s="15" t="str">
        <f aca="false">IF(E17=0,"MATCH","MISMATCH")</f>
        <v>MATCH</v>
      </c>
    </row>
    <row r="18" customFormat="false" ht="15" hidden="false" customHeight="false" outlineLevel="0" collapsed="false">
      <c r="B18" s="0" t="s">
        <v>95</v>
      </c>
      <c r="C18" s="13" t="n">
        <f aca="false">Metrics!$C$23</f>
        <v>-0.0429145146235769</v>
      </c>
      <c r="D18" s="14" t="n">
        <v>-0.0429145146235767</v>
      </c>
      <c r="E18" s="5" t="n">
        <f aca="false">ROUND(C18-D18,6)</f>
        <v>-0</v>
      </c>
      <c r="F18" s="15" t="str">
        <f aca="false">IF(E18=0,"MATCH","MISMATCH")</f>
        <v>MATCH</v>
      </c>
    </row>
    <row r="19" customFormat="false" ht="15" hidden="false" customHeight="false" outlineLevel="0" collapsed="false">
      <c r="B19" s="0" t="s">
        <v>96</v>
      </c>
      <c r="C19" s="13" t="n">
        <f aca="false">Metrics!$C$24</f>
        <v>0.0187343650449929</v>
      </c>
      <c r="D19" s="14" t="n">
        <v>0.0187343650449929</v>
      </c>
      <c r="E19" s="5" t="n">
        <f aca="false">ROUND(C19-D19,6)</f>
        <v>0</v>
      </c>
      <c r="F19" s="15" t="str">
        <f aca="false">IF(E19=0,"MATCH","MISMATCH")</f>
        <v>MATCH</v>
      </c>
    </row>
    <row r="20" customFormat="false" ht="15" hidden="false" customHeight="false" outlineLevel="0" collapsed="false">
      <c r="B20" s="0" t="s">
        <v>97</v>
      </c>
      <c r="C20" s="13" t="n">
        <f aca="false">Metrics!$C$25</f>
        <v>-1.40139996031249</v>
      </c>
      <c r="D20" s="14" t="n">
        <v>-1.40139996031247</v>
      </c>
      <c r="E20" s="5" t="n">
        <f aca="false">ROUND(C20-D20,6)</f>
        <v>-0</v>
      </c>
      <c r="F20" s="15" t="str">
        <f aca="false">IF(E20=0,"MATCH","MISMATCH")</f>
        <v>MATCH</v>
      </c>
    </row>
    <row r="21" customFormat="false" ht="15" hidden="false" customHeight="false" outlineLevel="0" collapsed="false">
      <c r="B21" s="0" t="s">
        <v>64</v>
      </c>
      <c r="C21" s="13" t="n">
        <f aca="false">Metrics!$C$26</f>
        <v>0.981729858825484</v>
      </c>
      <c r="D21" s="14" t="n">
        <v>0.981729858825484</v>
      </c>
      <c r="E21" s="5" t="n">
        <f aca="false">ROUND(C21-D21,6)</f>
        <v>0</v>
      </c>
      <c r="F21" s="15" t="str">
        <f aca="false">IF(E21=0,"MATCH","MISMATCH")</f>
        <v>MATCH</v>
      </c>
    </row>
    <row r="22" customFormat="false" ht="15" hidden="false" customHeight="false" outlineLevel="0" collapsed="false">
      <c r="B22" s="0" t="s">
        <v>98</v>
      </c>
      <c r="C22" s="13" t="n">
        <f aca="false">Metrics!$C$33</f>
        <v>0.86724837096827</v>
      </c>
      <c r="D22" s="14" t="n">
        <v>0.86724837096827</v>
      </c>
      <c r="E22" s="5" t="n">
        <f aca="false">ROUND(C22-D22,6)</f>
        <v>0</v>
      </c>
      <c r="F22" s="15" t="str">
        <f aca="false">IF(E22=0,"MATCH","MISMATCH")</f>
        <v>MATCH</v>
      </c>
    </row>
    <row r="23" customFormat="false" ht="15" hidden="false" customHeight="false" outlineLevel="0" collapsed="false">
      <c r="B23" s="0" t="s">
        <v>67</v>
      </c>
      <c r="C23" s="13" t="n">
        <f aca="false">Metrics!$C$29</f>
        <v>-0.156249958878651</v>
      </c>
      <c r="D23" s="14" t="n">
        <v>-0.156249958878651</v>
      </c>
      <c r="E23" s="5" t="n">
        <f aca="false">ROUND(C23-D23,6)</f>
        <v>0</v>
      </c>
      <c r="F23" s="15" t="str">
        <f aca="false">IF(E23=0,"MATCH","MISMATCH")</f>
        <v>MATCH</v>
      </c>
    </row>
    <row r="24" customFormat="false" ht="15" hidden="false" customHeight="false" outlineLevel="0" collapsed="false">
      <c r="B24" s="0" t="s">
        <v>68</v>
      </c>
      <c r="C24" s="13" t="n">
        <f aca="false">Metrics!$C$30</f>
        <v>0.093983188330141</v>
      </c>
      <c r="D24" s="14" t="n">
        <v>0.093983188330141</v>
      </c>
      <c r="E24" s="5" t="n">
        <f aca="false">ROUND(C24-D24,6)</f>
        <v>0</v>
      </c>
      <c r="F24" s="15" t="str">
        <f aca="false">IF(E24=0,"MATCH","MISMATCH")</f>
        <v>MATCH</v>
      </c>
    </row>
    <row r="25" customFormat="false" ht="15" hidden="false" customHeight="false" outlineLevel="0" collapsed="false">
      <c r="B25" s="0" t="s">
        <v>69</v>
      </c>
      <c r="C25" s="13" t="n">
        <f aca="false">Metrics!$C$31</f>
        <v>-0.220836132886855</v>
      </c>
      <c r="D25" s="14" t="n">
        <v>-0.220836132886855</v>
      </c>
      <c r="E25" s="5" t="n">
        <f aca="false">ROUND(C25-D25,6)</f>
        <v>0</v>
      </c>
      <c r="F25" s="15" t="str">
        <f aca="false">IF(E25=0,"MATCH","MISMATCH")</f>
        <v>MATCH</v>
      </c>
    </row>
    <row r="26" customFormat="false" ht="15" hidden="false" customHeight="false" outlineLevel="0" collapsed="false">
      <c r="B26" s="0" t="s">
        <v>70</v>
      </c>
      <c r="C26" s="13" t="n">
        <f aca="false">Metrics!$C$32</f>
        <v>0.0827725443123817</v>
      </c>
      <c r="D26" s="14" t="n">
        <v>0.0827725443123817</v>
      </c>
      <c r="E26" s="5" t="n">
        <f aca="false">ROUND(C26-D26,6)</f>
        <v>0</v>
      </c>
      <c r="F26" s="15" t="str">
        <f aca="false">IF(E26=0,"MATCH","MISMATCH")</f>
        <v>MATCH</v>
      </c>
    </row>
    <row r="27" customFormat="false" ht="15" hidden="false" customHeight="false" outlineLevel="0" collapsed="false">
      <c r="B27" s="0" t="s">
        <v>99</v>
      </c>
      <c r="C27" s="13" t="n">
        <f aca="false">Metrics!$C$35</f>
        <v>108000</v>
      </c>
      <c r="D27" s="14" t="n">
        <v>108000</v>
      </c>
      <c r="E27" s="5" t="n">
        <f aca="false">ROUND(C27-D27,6)</f>
        <v>0</v>
      </c>
      <c r="F27" s="15" t="str">
        <f aca="false">IF(E27=0,"MATCH","MISMATCH")</f>
        <v>MATCH</v>
      </c>
    </row>
    <row r="28" customFormat="false" ht="15" hidden="false" customHeight="false" outlineLevel="0" collapsed="false">
      <c r="B28" s="0" t="s">
        <v>74</v>
      </c>
      <c r="C28" s="13" t="n">
        <f aca="false">Metrics!$C$36</f>
        <v>0</v>
      </c>
      <c r="D28" s="14" t="n">
        <v>0</v>
      </c>
      <c r="E28" s="5" t="n">
        <f aca="false">ROUND(C28-D28,6)</f>
        <v>0</v>
      </c>
      <c r="F28" s="15" t="str">
        <f aca="false">IF(E28=0,"MATCH","MISMATCH")</f>
        <v>MATCH</v>
      </c>
    </row>
    <row r="29" customFormat="false" ht="15" hidden="false" customHeight="false" outlineLevel="0" collapsed="false">
      <c r="B29" s="0" t="s">
        <v>100</v>
      </c>
      <c r="C29" s="13" t="n">
        <f aca="false">Metrics!$C$37</f>
        <v>0.705330714769752</v>
      </c>
      <c r="D29" s="14" t="n">
        <v>0.705330714769752</v>
      </c>
      <c r="E29" s="5" t="n">
        <f aca="false">ROUND(C29-D29,6)</f>
        <v>0</v>
      </c>
      <c r="F29" s="15" t="str">
        <f aca="false">IF(E29=0,"MATCH","MISMATCH")</f>
        <v>MATCH</v>
      </c>
    </row>
    <row r="31" customFormat="false" ht="15" hidden="false" customHeight="false" outlineLevel="0" collapsed="false">
      <c r="B31" s="2" t="s">
        <v>101</v>
      </c>
    </row>
    <row r="32" customFormat="false" ht="15" hidden="false" customHeight="false" outlineLevel="0" collapsed="false">
      <c r="B32" s="0" t="s">
        <v>14</v>
      </c>
      <c r="C32" s="16" t="n">
        <f aca="false">Simulation!C24</f>
        <v>100000</v>
      </c>
      <c r="D32" s="6" t="n">
        <v>100000</v>
      </c>
      <c r="E32" s="17" t="n">
        <f aca="false">ROUND(C32-D32,6)</f>
        <v>0</v>
      </c>
      <c r="F32" s="0" t="str">
        <f aca="false">IF(E32=0,"MATCH","MISMATCH")</f>
        <v>MATCH</v>
      </c>
    </row>
    <row r="33" customFormat="false" ht="15" hidden="false" customHeight="false" outlineLevel="0" collapsed="false">
      <c r="B33" s="0" t="s">
        <v>15</v>
      </c>
      <c r="C33" s="16" t="n">
        <f aca="false">Simulation!D24</f>
        <v>99601.2610399365</v>
      </c>
      <c r="D33" s="6" t="n">
        <v>99601.2610399365</v>
      </c>
      <c r="E33" s="17" t="n">
        <f aca="false">ROUND(C33-D33,6)</f>
        <v>0</v>
      </c>
      <c r="F33" s="0" t="str">
        <f aca="false">IF(E33=0,"MATCH","MISMATCH")</f>
        <v>MATCH</v>
      </c>
    </row>
    <row r="34" customFormat="false" ht="15" hidden="false" customHeight="false" outlineLevel="0" collapsed="false">
      <c r="B34" s="0" t="s">
        <v>16</v>
      </c>
      <c r="C34" s="16" t="n">
        <f aca="false">Simulation!E24</f>
        <v>102841.050849952</v>
      </c>
      <c r="D34" s="6" t="n">
        <v>102841.050849952</v>
      </c>
      <c r="E34" s="17" t="n">
        <f aca="false">ROUND(C34-D34,6)</f>
        <v>0</v>
      </c>
      <c r="F34" s="0" t="str">
        <f aca="false">IF(E34=0,"MATCH","MISMATCH")</f>
        <v>MATCH</v>
      </c>
    </row>
    <row r="35" customFormat="false" ht="15" hidden="false" customHeight="false" outlineLevel="0" collapsed="false">
      <c r="B35" s="0" t="s">
        <v>17</v>
      </c>
      <c r="C35" s="16" t="n">
        <f aca="false">Simulation!F24</f>
        <v>100051.659598142</v>
      </c>
      <c r="D35" s="6" t="n">
        <v>100051.659598142</v>
      </c>
      <c r="E35" s="17" t="n">
        <f aca="false">ROUND(C35-D35,6)</f>
        <v>0</v>
      </c>
      <c r="F35" s="0" t="str">
        <f aca="false">IF(E35=0,"MATCH","MISMATCH")</f>
        <v>MATCH</v>
      </c>
    </row>
    <row r="36" customFormat="false" ht="15" hidden="false" customHeight="false" outlineLevel="0" collapsed="false">
      <c r="B36" s="0" t="s">
        <v>18</v>
      </c>
      <c r="C36" s="16" t="n">
        <f aca="false">Simulation!G24</f>
        <v>101297.060415773</v>
      </c>
      <c r="D36" s="6" t="n">
        <v>101297.060415773</v>
      </c>
      <c r="E36" s="17" t="n">
        <f aca="false">ROUND(C36-D36,6)</f>
        <v>0</v>
      </c>
      <c r="F36" s="0" t="str">
        <f aca="false">IF(E36=0,"MATCH","MISMATCH")</f>
        <v>MATCH</v>
      </c>
    </row>
    <row r="38" customFormat="false" ht="15" hidden="false" customHeight="false" outlineLevel="0" collapsed="false">
      <c r="B38" s="2" t="s">
        <v>102</v>
      </c>
    </row>
    <row r="39" customFormat="false" ht="15" hidden="false" customHeight="false" outlineLevel="0" collapsed="false">
      <c r="B39" s="0" t="s">
        <v>103</v>
      </c>
      <c r="C39" s="13" t="n">
        <f aca="false">Simulation!D20</f>
        <v>6.92494954309999E-005</v>
      </c>
      <c r="D39" s="14" t="n">
        <v>6.92494954309999E-005</v>
      </c>
      <c r="E39" s="17" t="n">
        <f aca="false">ROUND(C39-D39,6)</f>
        <v>0</v>
      </c>
      <c r="F39" s="0" t="str">
        <f aca="false">IF(E39=0,"MATCH","MISMATCH")</f>
        <v>MATCH</v>
      </c>
    </row>
    <row r="40" customFormat="false" ht="15" hidden="false" customHeight="false" outlineLevel="0" collapsed="false">
      <c r="B40" s="0" t="s">
        <v>104</v>
      </c>
      <c r="C40" s="16" t="n">
        <f aca="false">Simulation!D21</f>
        <v>0.00689733754894405</v>
      </c>
      <c r="D40" s="6" t="n">
        <v>0.00689733754894405</v>
      </c>
      <c r="E40" s="17" t="n">
        <f aca="false">ROUND(C40-D40,6)</f>
        <v>0</v>
      </c>
      <c r="F40" s="0" t="str">
        <f aca="false">IF(E40=0,"MATCH","MISMATCH")</f>
        <v>MATCH</v>
      </c>
    </row>
    <row r="41" customFormat="false" ht="15" hidden="false" customHeight="false" outlineLevel="0" collapsed="false">
      <c r="B41" s="0" t="s">
        <v>105</v>
      </c>
      <c r="C41" s="13" t="n">
        <f aca="false">Simulation!E20</f>
        <v>0.000174076764195427</v>
      </c>
      <c r="D41" s="14" t="n">
        <v>0.000174076764195427</v>
      </c>
      <c r="E41" s="17" t="n">
        <f aca="false">ROUND(C41-D41,6)</f>
        <v>0</v>
      </c>
      <c r="F41" s="0" t="str">
        <f aca="false">IF(E41=0,"MATCH","MISMATCH")</f>
        <v>MATCH</v>
      </c>
    </row>
    <row r="42" customFormat="false" ht="15" hidden="false" customHeight="false" outlineLevel="0" collapsed="false">
      <c r="B42" s="0" t="s">
        <v>106</v>
      </c>
      <c r="C42" s="16" t="n">
        <f aca="false">Simulation!E21</f>
        <v>0.0179022404747811</v>
      </c>
      <c r="D42" s="6" t="n">
        <v>0.0179022404747811</v>
      </c>
      <c r="E42" s="17" t="n">
        <f aca="false">ROUND(C42-D42,6)</f>
        <v>0</v>
      </c>
      <c r="F42" s="0" t="str">
        <f aca="false">IF(E42=0,"MATCH","MISMATCH")</f>
        <v>MATCH</v>
      </c>
    </row>
    <row r="43" customFormat="false" ht="15" hidden="false" customHeight="false" outlineLevel="0" collapsed="false">
      <c r="B43" s="0" t="s">
        <v>107</v>
      </c>
      <c r="C43" s="13" t="n">
        <f aca="false">Simulation!F20</f>
        <v>0.000369266964793382</v>
      </c>
      <c r="D43" s="14" t="n">
        <v>0.000369266964793382</v>
      </c>
      <c r="E43" s="17" t="n">
        <f aca="false">ROUND(C43-D43,6)</f>
        <v>0</v>
      </c>
      <c r="F43" s="0" t="str">
        <f aca="false">IF(E43=0,"MATCH","MISMATCH")</f>
        <v>MATCH</v>
      </c>
    </row>
    <row r="44" customFormat="false" ht="15" hidden="false" customHeight="false" outlineLevel="0" collapsed="false">
      <c r="B44" s="0" t="s">
        <v>108</v>
      </c>
      <c r="C44" s="16" t="n">
        <f aca="false">Simulation!F21</f>
        <v>0.0369457863052048</v>
      </c>
      <c r="D44" s="6" t="n">
        <v>0.0369457863052048</v>
      </c>
      <c r="E44" s="17" t="n">
        <f aca="false">ROUND(C44-D44,6)</f>
        <v>0</v>
      </c>
      <c r="F44" s="0" t="str">
        <f aca="false">IF(E44=0,"MATCH","MISMATCH")</f>
        <v>MATCH</v>
      </c>
    </row>
    <row r="45" customFormat="false" ht="15" hidden="false" customHeight="false" outlineLevel="0" collapsed="false">
      <c r="B45" s="0" t="s">
        <v>109</v>
      </c>
      <c r="C45" s="13" t="n">
        <f aca="false">Simulation!G20</f>
        <v>0.0063534051120614</v>
      </c>
      <c r="D45" s="14" t="n">
        <v>0.0063534051120614</v>
      </c>
      <c r="E45" s="17" t="n">
        <f aca="false">ROUND(C45-D45,6)</f>
        <v>0</v>
      </c>
      <c r="F45" s="0" t="str">
        <f aca="false">IF(E45=0,"MATCH","MISMATCH")</f>
        <v>MATCH</v>
      </c>
    </row>
    <row r="46" customFormat="false" ht="15" hidden="false" customHeight="false" outlineLevel="0" collapsed="false">
      <c r="B46" s="0" t="s">
        <v>110</v>
      </c>
      <c r="C46" s="16" t="n">
        <f aca="false">Simulation!G21</f>
        <v>0.643585350440822</v>
      </c>
      <c r="D46" s="6" t="n">
        <v>0.643585350440822</v>
      </c>
      <c r="E46" s="17" t="n">
        <f aca="false">ROUND(C46-D46,6)</f>
        <v>0</v>
      </c>
      <c r="F46" s="0" t="str">
        <f aca="false">IF(E46=0,"MATCH","MISMATCH")</f>
        <v>MATCH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</cols>
  <sheetData>
    <row r="2" customFormat="false" ht="17.35" hidden="false" customHeight="false" outlineLevel="0" collapsed="false">
      <c r="B2" s="1" t="s">
        <v>111</v>
      </c>
    </row>
    <row r="4" customFormat="false" ht="15" hidden="false" customHeight="false" outlineLevel="0" collapsed="false">
      <c r="B4" s="0" t="s">
        <v>112</v>
      </c>
      <c r="C4" s="15" t="n">
        <f aca="false">COUNTIF(Comparison!F6:F46,"MATCH")</f>
        <v>37</v>
      </c>
    </row>
    <row r="5" customFormat="false" ht="15" hidden="false" customHeight="false" outlineLevel="0" collapsed="false">
      <c r="B5" s="0" t="s">
        <v>113</v>
      </c>
      <c r="C5" s="15" t="n">
        <f aca="false">COUNTIF(Comparison!F6:F46,"MISMATCH")</f>
        <v>0</v>
      </c>
    </row>
    <row r="6" customFormat="false" ht="15" hidden="false" customHeight="false" outlineLevel="0" collapsed="false">
      <c r="B6" s="0" t="s">
        <v>114</v>
      </c>
      <c r="C6" s="15" t="n">
        <f aca="false">C4+C5</f>
        <v>37</v>
      </c>
    </row>
    <row r="7" customFormat="false" ht="15" hidden="false" customHeight="false" outlineLevel="0" collapsed="false">
      <c r="B7" s="0" t="s">
        <v>115</v>
      </c>
      <c r="C7" s="15" t="str">
        <f aca="false">IF(C5=0,"TRUE","FALSE")</f>
        <v>TRUE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2026-08-02T04:06:33Z</dcterms:created>
  <dc:creator>openpyxl</dc:creator>
  <dc:description/>
  <dc:language>en-US</dc:language>
  <cp:lastModifiedBy/>
  <dcterms:modified xsi:type="dcterms:W3CDTF">2026-08-02T04:06:33Z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