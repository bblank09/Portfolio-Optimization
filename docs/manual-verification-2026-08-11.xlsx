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 sheetId="1" state="visible" r:id="rId1"/>
    <sheet name="Returns" sheetId="2" state="visible" r:id="rId2"/>
    <sheet name="Weights" sheetId="3" state="visible" r:id="rId3"/>
    <sheet name="Frontier" sheetId="4" state="visible" r:id="rId4"/>
    <sheet name="Performance" sheetId="5" state="visible" r:id="rId5"/>
    <sheet name="Rolling" sheetId="6" state="visible" r:id="rId6"/>
    <sheet name="Report" sheetId="7" state="visible" r:id="rId7"/>
    <sheet name="FullSolveReplication" sheetId="8" state="visible" r:id="rId8"/>
  </sheets>
  <definedNames/>
  <calcPr calcId="124519" fullCalcOnLoad="1"/>
</workbook>
</file>

<file path=xl/styles.xml><?xml version="1.0" encoding="utf-8"?>
<styleSheet xmlns="http://schemas.openxmlformats.org/spreadsheetml/2006/main">
  <numFmts count="1">
    <numFmt numFmtId="164" formatCode="0.00000000"/>
  </numFmts>
  <fonts count="4">
    <font>
      <name val="Calibri"/>
      <family val="2"/>
      <color theme="1"/>
      <sz val="11"/>
      <scheme val="minor"/>
    </font>
    <font>
      <b val="1"/>
    </font>
    <font>
      <i val="1"/>
      <color rgb="00555555"/>
      <sz val="9"/>
    </font>
    <font>
      <b val="1"/>
      <sz val="13"/>
    </font>
  </fonts>
  <fills count="4">
    <fill>
      <patternFill/>
    </fill>
    <fill>
      <patternFill patternType="gray125"/>
    </fill>
    <fill>
      <patternFill patternType="solid">
        <fgColor rgb="00DDE7F0"/>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2" fillId="0" borderId="0" pivotButton="0" quotePrefix="0" xfId="0"/>
    <xf numFmtId="0" fontId="3" fillId="0" borderId="0" pivotButton="0" quotePrefix="0" xfId="0"/>
    <xf numFmtId="0" fontId="2" fillId="0" borderId="0" applyAlignment="1" pivotButton="0" quotePrefix="0" xfId="0">
      <alignment vertical="top" wrapText="1"/>
    </xf>
    <xf numFmtId="164" fontId="0" fillId="3" borderId="0" pivotButton="0" quotePrefix="0" xfId="0"/>
    <xf numFmtId="0" fontId="0" fillId="3"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17"/>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8" customWidth="1" min="3" max="3"/>
  </cols>
  <sheetData>
    <row r="1">
      <c r="A1" s="1" t="inlineStr">
        <is>
          <t>nav_date</t>
        </is>
      </c>
      <c r="B1" s="1" t="inlineStr">
        <is>
          <t>M0155_2547 (M-S50) NAV</t>
        </is>
      </c>
      <c r="C1" s="1" t="inlineStr">
        <is>
          <t>M0209_2548 (K-SET50) NAV</t>
        </is>
      </c>
      <c r="E1" s="2" t="inlineStr">
        <is>
          <t>Raw data, verbatim from nav.csv (Task 1). No formulas on this sheet. Every other sheet's numbers are live formulas rooted here. Blank cells early in the series are unaligned raw SEC data (expected, and outside the 2024-02..2024-05 test window).</t>
        </is>
      </c>
    </row>
    <row r="2">
      <c r="A2" t="inlineStr">
        <is>
          <t>2015-01-05</t>
        </is>
      </c>
      <c r="B2" t="n">
        <v>23.8239</v>
      </c>
      <c r="C2" t="n">
        <v>28.381</v>
      </c>
    </row>
    <row r="3">
      <c r="A3" t="inlineStr">
        <is>
          <t>2015-01-06</t>
        </is>
      </c>
      <c r="B3" t="n">
        <v>23.6462</v>
      </c>
      <c r="C3" t="n">
        <v>28.1817</v>
      </c>
    </row>
    <row r="4">
      <c r="A4" t="inlineStr">
        <is>
          <t>2015-01-07</t>
        </is>
      </c>
      <c r="B4" t="n">
        <v>24.0011</v>
      </c>
      <c r="C4" t="n">
        <v>28.6708</v>
      </c>
    </row>
    <row r="5">
      <c r="A5" t="inlineStr">
        <is>
          <t>2015-01-08</t>
        </is>
      </c>
      <c r="B5" t="n">
        <v>24.3954</v>
      </c>
      <c r="C5" t="n">
        <v>29.1099</v>
      </c>
    </row>
    <row r="6">
      <c r="A6" t="inlineStr">
        <is>
          <t>2015-01-09</t>
        </is>
      </c>
      <c r="B6" t="n">
        <v>24.38</v>
      </c>
      <c r="C6" t="n">
        <v>29.1701</v>
      </c>
    </row>
    <row r="7">
      <c r="A7" t="inlineStr">
        <is>
          <t>2015-01-12</t>
        </is>
      </c>
      <c r="B7" t="n">
        <v>24.2695</v>
      </c>
      <c r="C7" t="n">
        <v>29.1393</v>
      </c>
    </row>
    <row r="8">
      <c r="A8" t="inlineStr">
        <is>
          <t>2015-01-13</t>
        </is>
      </c>
      <c r="B8" t="n">
        <v>24.3093</v>
      </c>
      <c r="C8" t="n">
        <v>29.1234</v>
      </c>
    </row>
    <row r="9">
      <c r="A9" t="inlineStr">
        <is>
          <t>2015-01-14</t>
        </is>
      </c>
      <c r="B9" t="n">
        <v>24.076</v>
      </c>
      <c r="C9" t="n">
        <v>28.8328</v>
      </c>
    </row>
    <row r="10">
      <c r="A10" t="inlineStr">
        <is>
          <t>2015-01-15</t>
        </is>
      </c>
      <c r="B10" t="n">
        <v>24.052</v>
      </c>
      <c r="C10" t="n">
        <v>28.8158</v>
      </c>
    </row>
    <row r="11">
      <c r="A11" t="inlineStr">
        <is>
          <t>2015-01-16</t>
        </is>
      </c>
      <c r="B11" t="n">
        <v>23.989</v>
      </c>
      <c r="C11" t="n">
        <v>28.6944</v>
      </c>
    </row>
    <row r="12">
      <c r="A12" t="inlineStr">
        <is>
          <t>2015-01-19</t>
        </is>
      </c>
      <c r="B12" t="n">
        <v>24.2942</v>
      </c>
      <c r="C12" t="n">
        <v>29.0979</v>
      </c>
    </row>
    <row r="13">
      <c r="A13" t="inlineStr">
        <is>
          <t>2015-01-20</t>
        </is>
      </c>
      <c r="B13" t="n">
        <v>24.2592</v>
      </c>
      <c r="C13" t="n">
        <v>29.069</v>
      </c>
    </row>
    <row r="14">
      <c r="A14" t="inlineStr">
        <is>
          <t>2015-01-21</t>
        </is>
      </c>
      <c r="B14" t="n">
        <v>24.2509</v>
      </c>
      <c r="C14" t="n">
        <v>29.0659</v>
      </c>
    </row>
    <row r="15">
      <c r="A15" t="inlineStr">
        <is>
          <t>2015-01-22</t>
        </is>
      </c>
      <c r="B15" t="n">
        <v>24.6897</v>
      </c>
      <c r="C15" t="n">
        <v>29.6455</v>
      </c>
    </row>
    <row r="16">
      <c r="A16" t="inlineStr">
        <is>
          <t>2015-01-23</t>
        </is>
      </c>
      <c r="B16" t="n">
        <v>25.3528</v>
      </c>
      <c r="C16" t="n">
        <v>30.6198</v>
      </c>
    </row>
    <row r="17">
      <c r="A17" t="inlineStr">
        <is>
          <t>2015-01-26</t>
        </is>
      </c>
      <c r="B17" t="n">
        <v>25.1456</v>
      </c>
      <c r="C17" t="n">
        <v>30.3181</v>
      </c>
    </row>
    <row r="18">
      <c r="A18" t="inlineStr">
        <is>
          <t>2015-01-27</t>
        </is>
      </c>
      <c r="B18" t="n">
        <v>25.1559</v>
      </c>
      <c r="C18" t="n">
        <v>30.2689</v>
      </c>
    </row>
    <row r="19">
      <c r="A19" t="inlineStr">
        <is>
          <t>2015-01-28</t>
        </is>
      </c>
      <c r="B19" t="n">
        <v>25.1827</v>
      </c>
      <c r="C19" t="n">
        <v>30.2953</v>
      </c>
    </row>
    <row r="20">
      <c r="A20" t="inlineStr">
        <is>
          <t>2015-01-29</t>
        </is>
      </c>
      <c r="B20" t="n">
        <v>25.0277</v>
      </c>
      <c r="C20" t="n">
        <v>30.1248</v>
      </c>
    </row>
    <row r="21">
      <c r="A21" t="inlineStr">
        <is>
          <t>2015-01-30</t>
        </is>
      </c>
      <c r="B21" t="n">
        <v>24.8814</v>
      </c>
      <c r="C21" t="n">
        <v>29.9504</v>
      </c>
    </row>
    <row r="22">
      <c r="A22" t="inlineStr">
        <is>
          <t>2015-02-02</t>
        </is>
      </c>
      <c r="B22" t="n">
        <v>24.8613</v>
      </c>
      <c r="C22" t="n">
        <v>29.9799</v>
      </c>
    </row>
    <row r="23">
      <c r="A23" t="inlineStr">
        <is>
          <t>2015-02-03</t>
        </is>
      </c>
      <c r="B23" t="n">
        <v>25.1648</v>
      </c>
      <c r="C23" t="n">
        <v>30.4863</v>
      </c>
    </row>
    <row r="24">
      <c r="A24" t="inlineStr">
        <is>
          <t>2015-02-04</t>
        </is>
      </c>
      <c r="B24" t="n">
        <v>25.0788</v>
      </c>
      <c r="C24" t="n">
        <v>30.4102</v>
      </c>
    </row>
    <row r="25">
      <c r="A25" t="inlineStr">
        <is>
          <t>2015-02-05</t>
        </is>
      </c>
      <c r="B25" t="n">
        <v>25.2544</v>
      </c>
      <c r="C25" t="n">
        <v>30.5539</v>
      </c>
    </row>
    <row r="26">
      <c r="A26" t="inlineStr">
        <is>
          <t>2015-02-06</t>
        </is>
      </c>
      <c r="B26" t="n">
        <v>25.2692</v>
      </c>
      <c r="C26" t="n">
        <v>30.6342</v>
      </c>
    </row>
    <row r="27">
      <c r="A27" t="inlineStr">
        <is>
          <t>2015-02-09</t>
        </is>
      </c>
      <c r="B27" t="n">
        <v>25.04</v>
      </c>
      <c r="C27" t="n">
        <v>30.3266</v>
      </c>
    </row>
    <row r="28">
      <c r="A28" t="inlineStr">
        <is>
          <t>2015-02-10</t>
        </is>
      </c>
      <c r="B28" t="n">
        <v>24.8988</v>
      </c>
      <c r="C28" t="n">
        <v>30.1651</v>
      </c>
    </row>
    <row r="29">
      <c r="A29" t="inlineStr">
        <is>
          <t>2015-02-11</t>
        </is>
      </c>
      <c r="B29" t="n">
        <v>25.0612</v>
      </c>
      <c r="C29" t="n">
        <v>30.3647</v>
      </c>
    </row>
    <row r="30">
      <c r="A30" t="inlineStr">
        <is>
          <t>2015-02-12</t>
        </is>
      </c>
      <c r="B30" t="n">
        <v>25.1955</v>
      </c>
      <c r="C30" t="n">
        <v>30.5333</v>
      </c>
    </row>
    <row r="31">
      <c r="A31" t="inlineStr">
        <is>
          <t>2015-02-13</t>
        </is>
      </c>
      <c r="B31" t="n">
        <v>25.202</v>
      </c>
      <c r="C31" t="n">
        <v>30.548</v>
      </c>
    </row>
    <row r="32">
      <c r="A32" t="inlineStr">
        <is>
          <t>2015-02-16</t>
        </is>
      </c>
      <c r="B32" t="n">
        <v>25.0848</v>
      </c>
      <c r="C32" t="n">
        <v>30.3703</v>
      </c>
    </row>
    <row r="33">
      <c r="A33" t="inlineStr">
        <is>
          <t>2015-02-17</t>
        </is>
      </c>
      <c r="B33" t="n">
        <v>24.8113</v>
      </c>
      <c r="C33" t="n">
        <v>29.9734</v>
      </c>
    </row>
    <row r="34">
      <c r="A34" t="inlineStr">
        <is>
          <t>2015-02-18</t>
        </is>
      </c>
      <c r="B34" t="n">
        <v>24.9879</v>
      </c>
      <c r="C34" t="n">
        <v>30.2694</v>
      </c>
    </row>
    <row r="35">
      <c r="A35" t="inlineStr">
        <is>
          <t>2015-02-19</t>
        </is>
      </c>
      <c r="B35" t="n">
        <v>24.9036</v>
      </c>
      <c r="C35" t="n">
        <v>30.1261</v>
      </c>
    </row>
    <row r="36">
      <c r="A36" t="inlineStr">
        <is>
          <t>2015-02-20</t>
        </is>
      </c>
      <c r="B36" t="n">
        <v>24.9545</v>
      </c>
      <c r="C36" t="n">
        <v>30.2062</v>
      </c>
    </row>
    <row r="37">
      <c r="A37" t="inlineStr">
        <is>
          <t>2015-02-23</t>
        </is>
      </c>
      <c r="B37" t="n">
        <v>24.8025</v>
      </c>
      <c r="C37" t="n">
        <v>29.9676</v>
      </c>
    </row>
    <row r="38">
      <c r="A38" t="inlineStr">
        <is>
          <t>2015-02-24</t>
        </is>
      </c>
      <c r="B38" t="n">
        <v>24.869</v>
      </c>
      <c r="C38" t="n">
        <v>30.0376</v>
      </c>
    </row>
    <row r="39">
      <c r="A39" t="inlineStr">
        <is>
          <t>2015-02-25</t>
        </is>
      </c>
      <c r="B39" t="n">
        <v>24.6931</v>
      </c>
      <c r="C39" t="n">
        <v>29.8419</v>
      </c>
    </row>
    <row r="40">
      <c r="A40" t="inlineStr">
        <is>
          <t>2015-02-26</t>
        </is>
      </c>
      <c r="B40" t="n">
        <v>24.7663</v>
      </c>
      <c r="C40" t="n">
        <v>30.0022</v>
      </c>
    </row>
    <row r="41">
      <c r="A41" t="inlineStr">
        <is>
          <t>2015-02-27</t>
        </is>
      </c>
      <c r="B41" t="n">
        <v>24.6403</v>
      </c>
      <c r="C41" t="n">
        <v>29.767</v>
      </c>
    </row>
    <row r="42">
      <c r="A42" t="inlineStr">
        <is>
          <t>2015-03-02</t>
        </is>
      </c>
      <c r="B42" t="n">
        <v>24.6364</v>
      </c>
      <c r="C42" t="n">
        <v>29.678</v>
      </c>
    </row>
    <row r="43">
      <c r="A43" t="inlineStr">
        <is>
          <t>2015-03-03</t>
        </is>
      </c>
      <c r="B43" t="n">
        <v>24.5294</v>
      </c>
      <c r="C43" t="n">
        <v>29.3991</v>
      </c>
    </row>
    <row r="44">
      <c r="A44" t="inlineStr">
        <is>
          <t>2015-03-05</t>
        </is>
      </c>
      <c r="B44" t="n">
        <v>24.529</v>
      </c>
      <c r="C44" t="n">
        <v>29.2706</v>
      </c>
    </row>
    <row r="45">
      <c r="A45" t="inlineStr">
        <is>
          <t>2015-03-06</t>
        </is>
      </c>
      <c r="B45" t="n">
        <v>24.7617</v>
      </c>
      <c r="C45" t="n">
        <v>29.5695</v>
      </c>
    </row>
    <row r="46">
      <c r="A46" t="inlineStr">
        <is>
          <t>2015-03-09</t>
        </is>
      </c>
      <c r="B46" t="n">
        <v>24.5724</v>
      </c>
      <c r="C46" t="n">
        <v>29.4205</v>
      </c>
    </row>
    <row r="47">
      <c r="A47" t="inlineStr">
        <is>
          <t>2015-03-10</t>
        </is>
      </c>
      <c r="B47" t="n">
        <v>24.1356</v>
      </c>
      <c r="C47" t="n">
        <v>28.8067</v>
      </c>
    </row>
    <row r="48">
      <c r="A48" t="inlineStr">
        <is>
          <t>2015-03-11</t>
        </is>
      </c>
      <c r="B48" t="n">
        <v>24.3647</v>
      </c>
      <c r="C48" t="n">
        <v>29.1208</v>
      </c>
    </row>
    <row r="49">
      <c r="A49" t="inlineStr">
        <is>
          <t>2015-03-12</t>
        </is>
      </c>
      <c r="B49" t="n">
        <v>24.3164</v>
      </c>
      <c r="C49" t="n">
        <v>29.0635</v>
      </c>
    </row>
    <row r="50">
      <c r="A50" t="inlineStr">
        <is>
          <t>2015-03-13</t>
        </is>
      </c>
      <c r="B50" t="n">
        <v>24.3521</v>
      </c>
      <c r="C50" t="n">
        <v>29.0199</v>
      </c>
    </row>
    <row r="51">
      <c r="A51" t="inlineStr">
        <is>
          <t>2015-03-16</t>
        </is>
      </c>
      <c r="B51" t="n">
        <v>23.9998</v>
      </c>
      <c r="C51" t="n">
        <v>28.5706</v>
      </c>
    </row>
    <row r="52">
      <c r="A52" t="inlineStr">
        <is>
          <t>2015-03-17</t>
        </is>
      </c>
      <c r="B52" t="n">
        <v>24.0426</v>
      </c>
      <c r="C52" t="n">
        <v>28.6027</v>
      </c>
    </row>
    <row r="53">
      <c r="A53" t="inlineStr">
        <is>
          <t>2015-03-18</t>
        </is>
      </c>
      <c r="B53" t="n">
        <v>24.3442</v>
      </c>
      <c r="C53" t="n">
        <v>28.9861</v>
      </c>
    </row>
    <row r="54">
      <c r="A54" t="inlineStr">
        <is>
          <t>2015-03-19</t>
        </is>
      </c>
      <c r="B54" t="n">
        <v>24.4507</v>
      </c>
      <c r="C54" t="n">
        <v>29.0204</v>
      </c>
    </row>
    <row r="55">
      <c r="A55" t="inlineStr">
        <is>
          <t>2015-03-20</t>
        </is>
      </c>
      <c r="B55" t="n">
        <v>24.4522</v>
      </c>
      <c r="C55" t="n">
        <v>28.9717</v>
      </c>
    </row>
    <row r="56">
      <c r="A56" t="inlineStr">
        <is>
          <t>2015-03-23</t>
        </is>
      </c>
      <c r="B56" t="n">
        <v>24.3897</v>
      </c>
      <c r="C56" t="n">
        <v>28.8494</v>
      </c>
    </row>
    <row r="57">
      <c r="A57" t="inlineStr">
        <is>
          <t>2015-03-24</t>
        </is>
      </c>
      <c r="B57" t="n">
        <v>24.3702</v>
      </c>
      <c r="C57" t="n">
        <v>28.8286</v>
      </c>
    </row>
    <row r="58">
      <c r="A58" t="inlineStr">
        <is>
          <t>2015-03-25</t>
        </is>
      </c>
      <c r="B58" t="n">
        <v>24.3277</v>
      </c>
      <c r="C58" t="n">
        <v>28.7593</v>
      </c>
    </row>
    <row r="59">
      <c r="A59" t="inlineStr">
        <is>
          <t>2015-03-26</t>
        </is>
      </c>
      <c r="B59" t="n">
        <v>24.2018</v>
      </c>
      <c r="C59" t="n">
        <v>28.539</v>
      </c>
    </row>
    <row r="60">
      <c r="A60" t="inlineStr">
        <is>
          <t>2015-03-27</t>
        </is>
      </c>
      <c r="B60" t="n">
        <v>24.2561</v>
      </c>
      <c r="C60" t="n">
        <v>28.5494</v>
      </c>
    </row>
    <row r="61">
      <c r="A61" t="inlineStr">
        <is>
          <t>2015-03-30</t>
        </is>
      </c>
      <c r="B61" t="n">
        <v>24.2473</v>
      </c>
      <c r="C61" t="n">
        <v>28.5421</v>
      </c>
    </row>
    <row r="62">
      <c r="A62" t="inlineStr">
        <is>
          <t>2015-03-31</t>
        </is>
      </c>
      <c r="B62" t="n">
        <v>24.3762</v>
      </c>
      <c r="C62" t="n">
        <v>28.7105</v>
      </c>
    </row>
    <row r="63">
      <c r="A63" t="inlineStr">
        <is>
          <t>2015-04-01</t>
        </is>
      </c>
      <c r="B63" t="n">
        <v>24.5971</v>
      </c>
      <c r="C63" t="n">
        <v>29.0599</v>
      </c>
    </row>
    <row r="64">
      <c r="A64" t="inlineStr">
        <is>
          <t>2015-04-02</t>
        </is>
      </c>
      <c r="B64" t="n">
        <v>24.7396</v>
      </c>
      <c r="C64" t="n">
        <v>29.2133</v>
      </c>
    </row>
    <row r="65">
      <c r="A65" t="inlineStr">
        <is>
          <t>2015-04-03</t>
        </is>
      </c>
      <c r="B65" t="n">
        <v>24.7899</v>
      </c>
      <c r="C65" t="n">
        <v>29.266</v>
      </c>
    </row>
    <row r="66">
      <c r="A66" t="inlineStr">
        <is>
          <t>2015-04-07</t>
        </is>
      </c>
      <c r="B66" t="n">
        <v>25.0099</v>
      </c>
      <c r="C66" t="n">
        <v>29.5631</v>
      </c>
    </row>
    <row r="67">
      <c r="A67" t="inlineStr">
        <is>
          <t>2015-04-08</t>
        </is>
      </c>
      <c r="B67" t="n">
        <v>24.9448</v>
      </c>
      <c r="C67" t="n">
        <v>29.4626</v>
      </c>
    </row>
    <row r="68">
      <c r="A68" t="inlineStr">
        <is>
          <t>2015-04-09</t>
        </is>
      </c>
      <c r="B68" t="n">
        <v>24.9618</v>
      </c>
      <c r="C68" t="n">
        <v>29.4815</v>
      </c>
    </row>
    <row r="69">
      <c r="A69" t="inlineStr">
        <is>
          <t>2015-04-10</t>
        </is>
      </c>
      <c r="B69" t="n">
        <v>25.0595</v>
      </c>
      <c r="C69" t="n">
        <v>29.5797</v>
      </c>
    </row>
    <row r="70">
      <c r="A70" t="inlineStr">
        <is>
          <t>2015-04-16</t>
        </is>
      </c>
      <c r="B70" t="n">
        <v>25.5133</v>
      </c>
      <c r="C70" t="n">
        <v>30.1004</v>
      </c>
    </row>
    <row r="71">
      <c r="A71" t="inlineStr">
        <is>
          <t>2015-04-17</t>
        </is>
      </c>
      <c r="B71" t="n">
        <v>25.4085</v>
      </c>
      <c r="C71" t="n">
        <v>30.0182</v>
      </c>
    </row>
    <row r="72">
      <c r="A72" t="inlineStr">
        <is>
          <t>2015-04-20</t>
        </is>
      </c>
      <c r="B72" t="n">
        <v>25.3047</v>
      </c>
      <c r="C72" t="n">
        <v>29.8513</v>
      </c>
    </row>
    <row r="73">
      <c r="A73" t="inlineStr">
        <is>
          <t>2015-04-21</t>
        </is>
      </c>
      <c r="B73" t="n">
        <v>25.5119</v>
      </c>
      <c r="C73" t="n">
        <v>30.0796</v>
      </c>
    </row>
    <row r="74">
      <c r="A74" t="inlineStr">
        <is>
          <t>2015-04-22</t>
        </is>
      </c>
      <c r="B74" t="n">
        <v>25.1341</v>
      </c>
      <c r="C74" t="n">
        <v>29.6367</v>
      </c>
    </row>
    <row r="75">
      <c r="A75" t="inlineStr">
        <is>
          <t>2015-04-23</t>
        </is>
      </c>
      <c r="B75" t="n">
        <v>25.0535</v>
      </c>
      <c r="C75" t="n">
        <v>29.4942</v>
      </c>
    </row>
    <row r="76">
      <c r="A76" t="inlineStr">
        <is>
          <t>2015-04-24</t>
        </is>
      </c>
      <c r="B76" t="n">
        <v>25.2996</v>
      </c>
      <c r="C76" t="n">
        <v>29.7546</v>
      </c>
    </row>
    <row r="77">
      <c r="A77" t="inlineStr">
        <is>
          <t>2015-04-27</t>
        </is>
      </c>
      <c r="B77" t="n">
        <v>25.1613</v>
      </c>
      <c r="C77" t="n">
        <v>29.6062</v>
      </c>
    </row>
    <row r="78">
      <c r="A78" t="inlineStr">
        <is>
          <t>2015-04-28</t>
        </is>
      </c>
      <c r="B78" t="n">
        <v>24.9176</v>
      </c>
      <c r="C78" t="n">
        <v>29.2907</v>
      </c>
    </row>
    <row r="79">
      <c r="A79" t="inlineStr">
        <is>
          <t>2015-04-29</t>
        </is>
      </c>
      <c r="B79" t="n">
        <v>24.7276</v>
      </c>
      <c r="C79" t="n">
        <v>29.0997</v>
      </c>
    </row>
    <row r="80">
      <c r="A80" t="inlineStr">
        <is>
          <t>2015-04-30</t>
        </is>
      </c>
      <c r="B80" t="n">
        <v>24.8389</v>
      </c>
      <c r="C80" t="n">
        <v>29.1906</v>
      </c>
    </row>
    <row r="81">
      <c r="A81" t="inlineStr">
        <is>
          <t>2015-05-06</t>
        </is>
      </c>
      <c r="B81" t="n">
        <v>24.8121</v>
      </c>
      <c r="C81" t="n">
        <v>29.127</v>
      </c>
    </row>
    <row r="82">
      <c r="A82" t="inlineStr">
        <is>
          <t>2015-05-07</t>
        </is>
      </c>
      <c r="B82" t="n">
        <v>24.5501</v>
      </c>
      <c r="C82" t="n">
        <v>28.7844</v>
      </c>
    </row>
    <row r="83">
      <c r="A83" t="inlineStr">
        <is>
          <t>2015-05-08</t>
        </is>
      </c>
      <c r="B83" t="n">
        <v>24.7889</v>
      </c>
      <c r="C83" t="n">
        <v>29.0685</v>
      </c>
    </row>
    <row r="84">
      <c r="A84" t="inlineStr">
        <is>
          <t>2015-05-11</t>
        </is>
      </c>
      <c r="B84" t="n">
        <v>24.7118</v>
      </c>
      <c r="C84" t="n">
        <v>28.9331</v>
      </c>
    </row>
    <row r="85">
      <c r="A85" t="inlineStr">
        <is>
          <t>2015-05-12</t>
        </is>
      </c>
      <c r="B85" t="n">
        <v>24.4919</v>
      </c>
      <c r="C85" t="n">
        <v>28.6456</v>
      </c>
    </row>
    <row r="86">
      <c r="A86" t="inlineStr">
        <is>
          <t>2015-05-13</t>
        </is>
      </c>
      <c r="B86" t="n">
        <v>24.6671</v>
      </c>
      <c r="C86" t="n">
        <v>28.8846</v>
      </c>
    </row>
    <row r="87">
      <c r="A87" t="inlineStr">
        <is>
          <t>2015-05-14</t>
        </is>
      </c>
      <c r="B87" t="n">
        <v>24.6363</v>
      </c>
      <c r="C87" t="n">
        <v>28.8297</v>
      </c>
    </row>
    <row r="88">
      <c r="A88" t="inlineStr">
        <is>
          <t>2015-05-15</t>
        </is>
      </c>
      <c r="B88" t="n">
        <v>24.8809</v>
      </c>
      <c r="C88" t="n">
        <v>29.1099</v>
      </c>
    </row>
    <row r="89">
      <c r="A89" t="inlineStr">
        <is>
          <t>2015-05-18</t>
        </is>
      </c>
      <c r="B89" t="n">
        <v>23.7463</v>
      </c>
      <c r="C89" t="n">
        <v>29.0653</v>
      </c>
    </row>
    <row r="90">
      <c r="A90" t="inlineStr">
        <is>
          <t>2015-05-19</t>
        </is>
      </c>
      <c r="B90" t="n">
        <v>24.005</v>
      </c>
      <c r="C90" t="n">
        <v>29.3899</v>
      </c>
    </row>
    <row r="91">
      <c r="A91" t="inlineStr">
        <is>
          <t>2015-05-20</t>
        </is>
      </c>
      <c r="B91" t="n">
        <v>23.7935</v>
      </c>
      <c r="C91" t="n">
        <v>29.1938</v>
      </c>
    </row>
    <row r="92">
      <c r="A92" t="inlineStr">
        <is>
          <t>2015-05-21</t>
        </is>
      </c>
      <c r="B92" t="n">
        <v>23.9012</v>
      </c>
      <c r="C92" t="n">
        <v>29.3292</v>
      </c>
    </row>
    <row r="93">
      <c r="A93" t="inlineStr">
        <is>
          <t>2015-05-22</t>
        </is>
      </c>
      <c r="B93" t="n">
        <v>23.8999</v>
      </c>
      <c r="C93" t="n">
        <v>29.2427</v>
      </c>
    </row>
    <row r="94">
      <c r="A94" t="inlineStr">
        <is>
          <t>2015-05-25</t>
        </is>
      </c>
      <c r="B94" t="n">
        <v>23.6358</v>
      </c>
      <c r="C94" t="n">
        <v>28.9061</v>
      </c>
    </row>
    <row r="95">
      <c r="A95" t="inlineStr">
        <is>
          <t>2015-05-26</t>
        </is>
      </c>
      <c r="B95" t="n">
        <v>23.4752</v>
      </c>
      <c r="C95" t="n">
        <v>28.7156</v>
      </c>
    </row>
    <row r="96">
      <c r="A96" t="inlineStr">
        <is>
          <t>2015-05-27</t>
        </is>
      </c>
      <c r="B96" t="n">
        <v>23.5227</v>
      </c>
      <c r="C96" t="n">
        <v>28.7717</v>
      </c>
    </row>
    <row r="97">
      <c r="A97" t="inlineStr">
        <is>
          <t>2015-05-28</t>
        </is>
      </c>
      <c r="B97" t="n">
        <v>23.3496</v>
      </c>
    </row>
    <row r="98">
      <c r="A98" t="inlineStr">
        <is>
          <t>2015-05-29</t>
        </is>
      </c>
      <c r="B98" t="n">
        <v>23.3363</v>
      </c>
      <c r="C98" t="n">
        <v>28.598</v>
      </c>
    </row>
    <row r="99">
      <c r="A99" t="inlineStr">
        <is>
          <t>2015-06-02</t>
        </is>
      </c>
      <c r="B99" t="n">
        <v>23.022</v>
      </c>
      <c r="C99" t="n">
        <v>28.2145</v>
      </c>
    </row>
    <row r="100">
      <c r="A100" t="inlineStr">
        <is>
          <t>2015-06-03</t>
        </is>
      </c>
      <c r="B100" t="n">
        <v>23.0984</v>
      </c>
      <c r="C100" t="n">
        <v>28.3223</v>
      </c>
    </row>
    <row r="101">
      <c r="A101" t="inlineStr">
        <is>
          <t>2015-06-04</t>
        </is>
      </c>
      <c r="B101" t="n">
        <v>23.2552</v>
      </c>
      <c r="C101" t="n">
        <v>28.4914</v>
      </c>
    </row>
    <row r="102">
      <c r="A102" t="inlineStr">
        <is>
          <t>2015-06-05</t>
        </is>
      </c>
      <c r="B102" t="n">
        <v>23.5613</v>
      </c>
      <c r="C102" t="n">
        <v>28.8507</v>
      </c>
    </row>
    <row r="103">
      <c r="A103" t="inlineStr">
        <is>
          <t>2015-06-08</t>
        </is>
      </c>
      <c r="B103" t="n">
        <v>23.5581</v>
      </c>
      <c r="C103" t="n">
        <v>28.8234</v>
      </c>
    </row>
    <row r="104">
      <c r="A104" t="inlineStr">
        <is>
          <t>2015-06-09</t>
        </is>
      </c>
      <c r="B104" t="n">
        <v>23.2646</v>
      </c>
      <c r="C104" t="n">
        <v>28.4712</v>
      </c>
    </row>
    <row r="105">
      <c r="A105" t="inlineStr">
        <is>
          <t>2015-06-10</t>
        </is>
      </c>
      <c r="B105" t="n">
        <v>23.4925</v>
      </c>
      <c r="C105" t="n">
        <v>28.7624</v>
      </c>
    </row>
    <row r="106">
      <c r="A106" t="inlineStr">
        <is>
          <t>2015-06-11</t>
        </is>
      </c>
      <c r="B106" t="n">
        <v>23.635</v>
      </c>
      <c r="C106" t="n">
        <v>28.984</v>
      </c>
    </row>
    <row r="107">
      <c r="A107" t="inlineStr">
        <is>
          <t>2015-06-12</t>
        </is>
      </c>
      <c r="B107" t="n">
        <v>23.4953</v>
      </c>
      <c r="C107" t="n">
        <v>28.7879</v>
      </c>
    </row>
    <row r="108">
      <c r="A108" t="inlineStr">
        <is>
          <t>2015-06-15</t>
        </is>
      </c>
      <c r="B108" t="n">
        <v>23.4172</v>
      </c>
      <c r="C108" t="n">
        <v>28.6334</v>
      </c>
    </row>
    <row r="109">
      <c r="A109" t="inlineStr">
        <is>
          <t>2015-06-16</t>
        </is>
      </c>
      <c r="B109" t="n">
        <v>23.4133</v>
      </c>
      <c r="C109" t="n">
        <v>28.6593</v>
      </c>
    </row>
    <row r="110">
      <c r="A110" t="inlineStr">
        <is>
          <t>2015-06-17</t>
        </is>
      </c>
      <c r="B110" t="n">
        <v>23.5903</v>
      </c>
      <c r="C110" t="n">
        <v>28.9197</v>
      </c>
    </row>
    <row r="111">
      <c r="A111" t="inlineStr">
        <is>
          <t>2015-06-18</t>
        </is>
      </c>
      <c r="B111" t="n">
        <v>23.4357</v>
      </c>
      <c r="C111" t="n">
        <v>28.749</v>
      </c>
    </row>
    <row r="112">
      <c r="A112" t="inlineStr">
        <is>
          <t>2015-06-19</t>
        </is>
      </c>
      <c r="B112" t="n">
        <v>23.1214</v>
      </c>
      <c r="C112" t="n">
        <v>28.3887</v>
      </c>
    </row>
    <row r="113">
      <c r="A113" t="inlineStr">
        <is>
          <t>2015-06-22</t>
        </is>
      </c>
      <c r="B113" t="n">
        <v>23.373</v>
      </c>
      <c r="C113" t="n">
        <v>28.6969</v>
      </c>
    </row>
    <row r="114">
      <c r="A114" t="inlineStr">
        <is>
          <t>2015-06-23</t>
        </is>
      </c>
      <c r="B114" t="n">
        <v>23.3596</v>
      </c>
      <c r="C114" t="n">
        <v>28.6541</v>
      </c>
    </row>
    <row r="115">
      <c r="A115" t="inlineStr">
        <is>
          <t>2015-06-24</t>
        </is>
      </c>
      <c r="B115" t="n">
        <v>23.6432</v>
      </c>
      <c r="C115" t="n">
        <v>28.9975</v>
      </c>
    </row>
    <row r="116">
      <c r="A116" t="inlineStr">
        <is>
          <t>2015-06-25</t>
        </is>
      </c>
      <c r="B116" t="n">
        <v>23.6803</v>
      </c>
      <c r="C116" t="n">
        <v>29.0329</v>
      </c>
    </row>
    <row r="117">
      <c r="A117" t="inlineStr">
        <is>
          <t>2015-06-26</t>
        </is>
      </c>
      <c r="B117" t="n">
        <v>23.6622</v>
      </c>
      <c r="C117" t="n">
        <v>28.9851</v>
      </c>
    </row>
    <row r="118">
      <c r="A118" t="inlineStr">
        <is>
          <t>2015-06-29</t>
        </is>
      </c>
      <c r="B118" t="n">
        <v>23.5585</v>
      </c>
      <c r="C118" t="n">
        <v>28.8909</v>
      </c>
    </row>
    <row r="119">
      <c r="A119" t="inlineStr">
        <is>
          <t>2015-06-30</t>
        </is>
      </c>
      <c r="B119" t="n">
        <v>23.3889</v>
      </c>
      <c r="C119" t="n">
        <v>28.6504</v>
      </c>
    </row>
    <row r="120">
      <c r="A120" t="inlineStr">
        <is>
          <t>2015-07-02</t>
        </is>
      </c>
      <c r="B120" t="n">
        <v>23.1219</v>
      </c>
      <c r="C120" t="n">
        <v>28.3949</v>
      </c>
    </row>
    <row r="121">
      <c r="A121" t="inlineStr">
        <is>
          <t>2015-07-03</t>
        </is>
      </c>
      <c r="B121" t="n">
        <v>23.1294</v>
      </c>
      <c r="C121" t="n">
        <v>28.3614</v>
      </c>
    </row>
    <row r="122">
      <c r="A122" t="inlineStr">
        <is>
          <t>2015-07-06</t>
        </is>
      </c>
      <c r="B122" t="n">
        <v>22.8825</v>
      </c>
      <c r="C122" t="n">
        <v>28.0538</v>
      </c>
    </row>
    <row r="123">
      <c r="A123" t="inlineStr">
        <is>
          <t>2015-07-07</t>
        </is>
      </c>
      <c r="B123" t="n">
        <v>23.0532</v>
      </c>
      <c r="C123" t="n">
        <v>28.2486</v>
      </c>
    </row>
    <row r="124">
      <c r="A124" t="inlineStr">
        <is>
          <t>2015-07-08</t>
        </is>
      </c>
      <c r="B124" t="n">
        <v>22.7886</v>
      </c>
      <c r="C124" t="n">
        <v>27.944</v>
      </c>
    </row>
    <row r="125">
      <c r="A125" t="inlineStr">
        <is>
          <t>2015-07-09</t>
        </is>
      </c>
      <c r="B125" t="n">
        <v>22.8648</v>
      </c>
      <c r="C125" t="n">
        <v>28.0253</v>
      </c>
    </row>
    <row r="126">
      <c r="A126" t="inlineStr">
        <is>
          <t>2015-07-10</t>
        </is>
      </c>
      <c r="B126" t="n">
        <v>23.0803</v>
      </c>
      <c r="C126" t="n">
        <v>28.3158</v>
      </c>
    </row>
    <row r="127">
      <c r="A127" t="inlineStr">
        <is>
          <t>2015-07-13</t>
        </is>
      </c>
      <c r="B127" t="n">
        <v>23.1497</v>
      </c>
      <c r="C127" t="n">
        <v>28.3907</v>
      </c>
    </row>
    <row r="128">
      <c r="A128" t="inlineStr">
        <is>
          <t>2015-07-14</t>
        </is>
      </c>
      <c r="B128" t="n">
        <v>23.0521</v>
      </c>
      <c r="C128" t="n">
        <v>28.3059</v>
      </c>
    </row>
    <row r="129">
      <c r="A129" t="inlineStr">
        <is>
          <t>2015-07-15</t>
        </is>
      </c>
      <c r="B129" t="n">
        <v>23.015</v>
      </c>
      <c r="C129" t="n">
        <v>28.2884</v>
      </c>
    </row>
    <row r="130">
      <c r="A130" t="inlineStr">
        <is>
          <t>2015-07-16</t>
        </is>
      </c>
      <c r="B130" t="n">
        <v>22.9694</v>
      </c>
      <c r="C130" t="n">
        <v>28.2235</v>
      </c>
    </row>
    <row r="131">
      <c r="A131" t="inlineStr">
        <is>
          <t>2015-07-17</t>
        </is>
      </c>
      <c r="B131" t="n">
        <v>22.925</v>
      </c>
      <c r="C131" t="n">
        <v>28.173</v>
      </c>
    </row>
    <row r="132">
      <c r="A132" t="inlineStr">
        <is>
          <t>2015-07-20</t>
        </is>
      </c>
      <c r="B132" t="n">
        <v>22.7522</v>
      </c>
      <c r="C132" t="n">
        <v>27.9402</v>
      </c>
    </row>
    <row r="133">
      <c r="A133" t="inlineStr">
        <is>
          <t>2015-07-21</t>
        </is>
      </c>
      <c r="B133" t="n">
        <v>22.4995</v>
      </c>
      <c r="C133" t="n">
        <v>27.5972</v>
      </c>
    </row>
    <row r="134">
      <c r="A134" t="inlineStr">
        <is>
          <t>2015-07-22</t>
        </is>
      </c>
      <c r="B134" t="n">
        <v>22.4963</v>
      </c>
      <c r="C134" t="n">
        <v>27.6351</v>
      </c>
    </row>
    <row r="135">
      <c r="A135" t="inlineStr">
        <is>
          <t>2015-07-23</t>
        </is>
      </c>
      <c r="B135" t="n">
        <v>22.4132</v>
      </c>
      <c r="C135" t="n">
        <v>27.4887</v>
      </c>
    </row>
    <row r="136">
      <c r="A136" t="inlineStr">
        <is>
          <t>2015-07-24</t>
        </is>
      </c>
      <c r="B136" t="n">
        <v>22.2941</v>
      </c>
      <c r="C136" t="n">
        <v>27.3268</v>
      </c>
    </row>
    <row r="137">
      <c r="A137" t="inlineStr">
        <is>
          <t>2015-07-27</t>
        </is>
      </c>
      <c r="B137" t="n">
        <v>21.9396</v>
      </c>
      <c r="C137" t="n">
        <v>26.8375</v>
      </c>
    </row>
    <row r="138">
      <c r="A138" t="inlineStr">
        <is>
          <t>2015-07-28</t>
        </is>
      </c>
      <c r="B138" t="n">
        <v>21.9702</v>
      </c>
      <c r="C138" t="n">
        <v>26.8596</v>
      </c>
    </row>
    <row r="139">
      <c r="A139" t="inlineStr">
        <is>
          <t>2015-07-29</t>
        </is>
      </c>
      <c r="B139" t="n">
        <v>22.1006</v>
      </c>
      <c r="C139" t="n">
        <v>27.0545</v>
      </c>
    </row>
    <row r="140">
      <c r="A140" t="inlineStr">
        <is>
          <t>2015-07-31</t>
        </is>
      </c>
      <c r="B140" t="n">
        <v>22.5135</v>
      </c>
      <c r="C140" t="n">
        <v>27.5529</v>
      </c>
    </row>
    <row r="141">
      <c r="A141" t="inlineStr">
        <is>
          <t>2015-08-03</t>
        </is>
      </c>
      <c r="B141" t="n">
        <v>22.5129</v>
      </c>
      <c r="C141" t="n">
        <v>27.5314</v>
      </c>
    </row>
    <row r="142">
      <c r="A142" t="inlineStr">
        <is>
          <t>2015-08-04</t>
        </is>
      </c>
      <c r="B142" t="n">
        <v>22.2773</v>
      </c>
      <c r="C142" t="n">
        <v>27.3003</v>
      </c>
    </row>
    <row r="143">
      <c r="A143" t="inlineStr">
        <is>
          <t>2015-08-05</t>
        </is>
      </c>
      <c r="B143" t="n">
        <v>22.3407</v>
      </c>
      <c r="C143" t="n">
        <v>27.373</v>
      </c>
    </row>
    <row r="144">
      <c r="A144" t="inlineStr">
        <is>
          <t>2015-08-06</t>
        </is>
      </c>
      <c r="B144" t="n">
        <v>22.1978</v>
      </c>
      <c r="C144" t="n">
        <v>27.1953</v>
      </c>
    </row>
    <row r="145">
      <c r="A145" t="inlineStr">
        <is>
          <t>2015-08-07</t>
        </is>
      </c>
      <c r="B145" t="n">
        <v>22.1087</v>
      </c>
      <c r="C145" t="n">
        <v>27.1286</v>
      </c>
    </row>
    <row r="146">
      <c r="A146" t="inlineStr">
        <is>
          <t>2015-08-10</t>
        </is>
      </c>
      <c r="B146" t="n">
        <v>21.9807</v>
      </c>
      <c r="C146" t="n">
        <v>26.9479</v>
      </c>
    </row>
    <row r="147">
      <c r="A147" t="inlineStr">
        <is>
          <t>2015-08-11</t>
        </is>
      </c>
      <c r="B147" t="n">
        <v>21.7694</v>
      </c>
      <c r="C147" t="n">
        <v>26.7305</v>
      </c>
    </row>
    <row r="148">
      <c r="A148" t="inlineStr">
        <is>
          <t>2015-08-13</t>
        </is>
      </c>
      <c r="B148" t="n">
        <v>21.8152</v>
      </c>
      <c r="C148" t="n">
        <v>26.7332</v>
      </c>
    </row>
    <row r="149">
      <c r="A149" t="inlineStr">
        <is>
          <t>2015-08-14</t>
        </is>
      </c>
      <c r="B149" t="n">
        <v>21.9462</v>
      </c>
      <c r="C149" t="n">
        <v>26.9083</v>
      </c>
    </row>
    <row r="150">
      <c r="A150" t="inlineStr">
        <is>
          <t>2015-08-17</t>
        </is>
      </c>
      <c r="B150" t="n">
        <v>21.8287</v>
      </c>
      <c r="C150" t="n">
        <v>26.7675</v>
      </c>
    </row>
    <row r="151">
      <c r="A151" t="inlineStr">
        <is>
          <t>2015-08-18</t>
        </is>
      </c>
      <c r="B151" t="n">
        <v>21.2339</v>
      </c>
      <c r="C151" t="n">
        <v>26.0309</v>
      </c>
    </row>
    <row r="152">
      <c r="A152" t="inlineStr">
        <is>
          <t>2015-08-19</t>
        </is>
      </c>
      <c r="B152" t="n">
        <v>21.2811</v>
      </c>
      <c r="C152" t="n">
        <v>26.1034</v>
      </c>
    </row>
    <row r="153">
      <c r="A153" t="inlineStr">
        <is>
          <t>2015-08-20</t>
        </is>
      </c>
      <c r="B153" t="n">
        <v>21.1158</v>
      </c>
      <c r="C153" t="n">
        <v>25.9018</v>
      </c>
    </row>
    <row r="154">
      <c r="A154" t="inlineStr">
        <is>
          <t>2015-08-21</t>
        </is>
      </c>
      <c r="B154" t="n">
        <v>21.0198</v>
      </c>
      <c r="C154" t="n">
        <v>25.798</v>
      </c>
    </row>
    <row r="155">
      <c r="A155" t="inlineStr">
        <is>
          <t>2015-08-24</t>
        </is>
      </c>
      <c r="B155" t="n">
        <v>20.032</v>
      </c>
      <c r="C155" t="n">
        <v>24.5412</v>
      </c>
    </row>
    <row r="156">
      <c r="A156" t="inlineStr">
        <is>
          <t>2015-08-25</t>
        </is>
      </c>
      <c r="B156" t="n">
        <v>20.5091</v>
      </c>
      <c r="C156" t="n">
        <v>25.1483</v>
      </c>
    </row>
    <row r="157">
      <c r="A157" t="inlineStr">
        <is>
          <t>2015-08-26</t>
        </is>
      </c>
      <c r="B157" t="n">
        <v>20.4625</v>
      </c>
      <c r="C157" t="n">
        <v>25.0376</v>
      </c>
    </row>
    <row r="158">
      <c r="A158" t="inlineStr">
        <is>
          <t>2015-08-27</t>
        </is>
      </c>
      <c r="B158" t="n">
        <v>21.1249</v>
      </c>
      <c r="C158" t="n">
        <v>25.8678</v>
      </c>
    </row>
    <row r="159">
      <c r="A159" t="inlineStr">
        <is>
          <t>2015-08-28</t>
        </is>
      </c>
      <c r="B159" t="n">
        <v>21.3691</v>
      </c>
      <c r="C159" t="n">
        <v>26.0885</v>
      </c>
    </row>
    <row r="160">
      <c r="A160" t="inlineStr">
        <is>
          <t>2015-08-31</t>
        </is>
      </c>
      <c r="B160" t="n">
        <v>21.535</v>
      </c>
      <c r="C160" t="n">
        <v>26.4286</v>
      </c>
    </row>
    <row r="161">
      <c r="A161" t="inlineStr">
        <is>
          <t>2015-09-01</t>
        </is>
      </c>
      <c r="B161" t="n">
        <v>21.2194</v>
      </c>
      <c r="C161" t="n">
        <v>25.9449</v>
      </c>
    </row>
    <row r="162">
      <c r="A162" t="inlineStr">
        <is>
          <t>2015-09-02</t>
        </is>
      </c>
      <c r="B162" t="n">
        <v>21.3948</v>
      </c>
      <c r="C162" t="n">
        <v>26.1961</v>
      </c>
    </row>
    <row r="163">
      <c r="A163" t="inlineStr">
        <is>
          <t>2015-09-03</t>
        </is>
      </c>
      <c r="B163" t="n">
        <v>21.4971</v>
      </c>
      <c r="C163" t="n">
        <v>26.364</v>
      </c>
    </row>
    <row r="164">
      <c r="A164" t="inlineStr">
        <is>
          <t>2015-09-04</t>
        </is>
      </c>
      <c r="B164" t="n">
        <v>21.2934</v>
      </c>
      <c r="C164" t="n">
        <v>26.0739</v>
      </c>
    </row>
    <row r="165">
      <c r="A165" t="inlineStr">
        <is>
          <t>2015-09-07</t>
        </is>
      </c>
      <c r="B165" t="n">
        <v>21.3001</v>
      </c>
      <c r="C165" t="n">
        <v>26.0678</v>
      </c>
    </row>
    <row r="166">
      <c r="A166" t="inlineStr">
        <is>
          <t>2015-09-08</t>
        </is>
      </c>
      <c r="B166" t="n">
        <v>21.4279</v>
      </c>
      <c r="C166" t="n">
        <v>26.2521</v>
      </c>
    </row>
    <row r="167">
      <c r="A167" t="inlineStr">
        <is>
          <t>2015-09-09</t>
        </is>
      </c>
      <c r="B167" t="n">
        <v>21.7745</v>
      </c>
      <c r="C167" t="n">
        <v>26.6045</v>
      </c>
    </row>
    <row r="168">
      <c r="A168" t="inlineStr">
        <is>
          <t>2015-09-10</t>
        </is>
      </c>
      <c r="B168" t="n">
        <v>21.7577</v>
      </c>
      <c r="C168" t="n">
        <v>26.6136</v>
      </c>
    </row>
    <row r="169">
      <c r="A169" t="inlineStr">
        <is>
          <t>2015-09-11</t>
        </is>
      </c>
      <c r="B169" t="n">
        <v>21.5022</v>
      </c>
      <c r="C169" t="n">
        <v>26.2886</v>
      </c>
    </row>
    <row r="170">
      <c r="A170" t="inlineStr">
        <is>
          <t>2015-09-14</t>
        </is>
      </c>
      <c r="B170" t="n">
        <v>21.3885</v>
      </c>
      <c r="C170" t="n">
        <v>26.2003</v>
      </c>
    </row>
    <row r="171">
      <c r="A171" t="inlineStr">
        <is>
          <t>2015-09-15</t>
        </is>
      </c>
      <c r="B171" t="n">
        <v>21.2944</v>
      </c>
      <c r="C171" t="n">
        <v>26.0771</v>
      </c>
    </row>
    <row r="172">
      <c r="A172" t="inlineStr">
        <is>
          <t>2015-09-16</t>
        </is>
      </c>
      <c r="B172" t="n">
        <v>21.4955</v>
      </c>
      <c r="C172" t="n">
        <v>26.3186</v>
      </c>
    </row>
    <row r="173">
      <c r="A173" t="inlineStr">
        <is>
          <t>2015-09-17</t>
        </is>
      </c>
      <c r="B173" t="n">
        <v>21.6662</v>
      </c>
      <c r="C173" t="n">
        <v>26.4998</v>
      </c>
    </row>
    <row r="174">
      <c r="A174" t="inlineStr">
        <is>
          <t>2015-09-18</t>
        </is>
      </c>
      <c r="B174" t="n">
        <v>21.6532</v>
      </c>
      <c r="C174" t="n">
        <v>26.4603</v>
      </c>
    </row>
    <row r="175">
      <c r="A175" t="inlineStr">
        <is>
          <t>2015-09-21</t>
        </is>
      </c>
      <c r="B175" t="n">
        <v>21.6856</v>
      </c>
      <c r="C175" t="n">
        <v>26.5234</v>
      </c>
    </row>
    <row r="176">
      <c r="A176" t="inlineStr">
        <is>
          <t>2015-09-22</t>
        </is>
      </c>
      <c r="B176" t="n">
        <v>21.4544</v>
      </c>
      <c r="C176" t="n">
        <v>26.1968</v>
      </c>
    </row>
    <row r="177">
      <c r="A177" t="inlineStr">
        <is>
          <t>2015-09-23</t>
        </is>
      </c>
      <c r="B177" t="n">
        <v>21.3348</v>
      </c>
      <c r="C177" t="n">
        <v>26.0453</v>
      </c>
    </row>
    <row r="178">
      <c r="A178" t="inlineStr">
        <is>
          <t>2015-09-24</t>
        </is>
      </c>
      <c r="B178" t="n">
        <v>21.3219</v>
      </c>
      <c r="C178" t="n">
        <v>26.012</v>
      </c>
    </row>
    <row r="179">
      <c r="A179" t="inlineStr">
        <is>
          <t>2015-09-25</t>
        </is>
      </c>
      <c r="B179" t="n">
        <v>21.3877</v>
      </c>
      <c r="C179" t="n">
        <v>26.0885</v>
      </c>
    </row>
    <row r="180">
      <c r="A180" t="inlineStr">
        <is>
          <t>2015-09-28</t>
        </is>
      </c>
      <c r="B180" t="n">
        <v>20.96</v>
      </c>
      <c r="C180" t="n">
        <v>25.5577</v>
      </c>
    </row>
    <row r="181">
      <c r="A181" t="inlineStr">
        <is>
          <t>2015-09-29</t>
        </is>
      </c>
      <c r="B181" t="n">
        <v>20.8414</v>
      </c>
      <c r="C181" t="n">
        <v>25.4337</v>
      </c>
    </row>
    <row r="182">
      <c r="A182" t="inlineStr">
        <is>
          <t>2015-09-30</t>
        </is>
      </c>
      <c r="B182" t="n">
        <v>20.8488</v>
      </c>
      <c r="C182" t="n">
        <v>25.452</v>
      </c>
    </row>
    <row r="183">
      <c r="A183" t="inlineStr">
        <is>
          <t>2015-10-01</t>
        </is>
      </c>
      <c r="B183" t="n">
        <v>20.8064</v>
      </c>
      <c r="C183" t="n">
        <v>25.413</v>
      </c>
    </row>
    <row r="184">
      <c r="A184" t="inlineStr">
        <is>
          <t>2015-10-02</t>
        </is>
      </c>
      <c r="B184" t="n">
        <v>20.8513</v>
      </c>
      <c r="C184" t="n">
        <v>25.4489</v>
      </c>
    </row>
    <row r="185">
      <c r="A185" t="inlineStr">
        <is>
          <t>2015-10-05</t>
        </is>
      </c>
      <c r="B185" t="n">
        <v>21.1502</v>
      </c>
      <c r="C185" t="n">
        <v>25.8419</v>
      </c>
    </row>
    <row r="186">
      <c r="A186" t="inlineStr">
        <is>
          <t>2015-10-06</t>
        </is>
      </c>
      <c r="B186" t="n">
        <v>21.281</v>
      </c>
      <c r="C186" t="n">
        <v>26.0228</v>
      </c>
    </row>
    <row r="187">
      <c r="A187" t="inlineStr">
        <is>
          <t>2015-10-07</t>
        </is>
      </c>
      <c r="B187" t="n">
        <v>21.7837</v>
      </c>
      <c r="C187" t="n">
        <v>26.6251</v>
      </c>
    </row>
    <row r="188">
      <c r="A188" t="inlineStr">
        <is>
          <t>2015-10-08</t>
        </is>
      </c>
      <c r="B188" t="n">
        <v>21.758</v>
      </c>
      <c r="C188" t="n">
        <v>26.5832</v>
      </c>
    </row>
    <row r="189">
      <c r="A189" t="inlineStr">
        <is>
          <t>2015-10-09</t>
        </is>
      </c>
      <c r="B189" t="n">
        <v>22.1044</v>
      </c>
      <c r="C189" t="n">
        <v>26.9918</v>
      </c>
    </row>
    <row r="190">
      <c r="A190" t="inlineStr">
        <is>
          <t>2015-10-12</t>
        </is>
      </c>
      <c r="B190" t="n">
        <v>22.0599</v>
      </c>
      <c r="C190" t="n">
        <v>26.9661</v>
      </c>
    </row>
    <row r="191">
      <c r="A191" t="inlineStr">
        <is>
          <t>2015-10-13</t>
        </is>
      </c>
      <c r="B191" t="n">
        <v>21.9657</v>
      </c>
      <c r="C191" t="n">
        <v>26.8368</v>
      </c>
    </row>
    <row r="192">
      <c r="A192" t="inlineStr">
        <is>
          <t>2015-10-14</t>
        </is>
      </c>
      <c r="B192" t="n">
        <v>21.8261</v>
      </c>
      <c r="C192" t="n">
        <v>26.641</v>
      </c>
    </row>
    <row r="193">
      <c r="A193" t="inlineStr">
        <is>
          <t>2015-10-15</t>
        </is>
      </c>
      <c r="B193" t="n">
        <v>22.1432</v>
      </c>
      <c r="C193" t="n">
        <v>27.0486</v>
      </c>
    </row>
    <row r="194">
      <c r="A194" t="inlineStr">
        <is>
          <t>2015-10-16</t>
        </is>
      </c>
      <c r="B194" t="n">
        <v>22.069</v>
      </c>
      <c r="C194" t="n">
        <v>26.9353</v>
      </c>
    </row>
    <row r="195">
      <c r="A195" t="inlineStr">
        <is>
          <t>2015-10-19</t>
        </is>
      </c>
      <c r="B195" t="n">
        <v>21.9737</v>
      </c>
      <c r="C195" t="n">
        <v>26.8522</v>
      </c>
    </row>
    <row r="196">
      <c r="A196" t="inlineStr">
        <is>
          <t>2015-10-20</t>
        </is>
      </c>
      <c r="B196" t="n">
        <v>21.9363</v>
      </c>
      <c r="C196" t="n">
        <v>26.8203</v>
      </c>
    </row>
    <row r="197">
      <c r="A197" t="inlineStr">
        <is>
          <t>2015-10-21</t>
        </is>
      </c>
      <c r="B197" t="n">
        <v>21.931</v>
      </c>
      <c r="C197" t="n">
        <v>26.7805</v>
      </c>
    </row>
    <row r="198">
      <c r="A198" t="inlineStr">
        <is>
          <t>2015-10-22</t>
        </is>
      </c>
      <c r="B198" t="n">
        <v>21.9486</v>
      </c>
      <c r="C198" t="n">
        <v>26.7899</v>
      </c>
    </row>
    <row r="199">
      <c r="A199" t="inlineStr">
        <is>
          <t>2015-10-26</t>
        </is>
      </c>
      <c r="B199" t="n">
        <v>22.148</v>
      </c>
      <c r="C199" t="n">
        <v>26.9863</v>
      </c>
    </row>
    <row r="200">
      <c r="A200" t="inlineStr">
        <is>
          <t>2015-10-27</t>
        </is>
      </c>
      <c r="B200" t="n">
        <v>22.188</v>
      </c>
      <c r="C200" t="n">
        <v>26.9924</v>
      </c>
    </row>
    <row r="201">
      <c r="A201" t="inlineStr">
        <is>
          <t>2015-10-28</t>
        </is>
      </c>
      <c r="B201" t="n">
        <v>21.9673</v>
      </c>
      <c r="C201" t="n">
        <v>26.6856</v>
      </c>
    </row>
    <row r="202">
      <c r="A202" t="inlineStr">
        <is>
          <t>2015-10-29</t>
        </is>
      </c>
      <c r="B202" t="n">
        <v>21.6495</v>
      </c>
      <c r="C202" t="n">
        <v>26.3054</v>
      </c>
    </row>
    <row r="203">
      <c r="A203" t="inlineStr">
        <is>
          <t>2015-10-30</t>
        </is>
      </c>
      <c r="B203" t="n">
        <v>21.6785</v>
      </c>
      <c r="C203" t="n">
        <v>26.3584</v>
      </c>
    </row>
    <row r="204">
      <c r="A204" t="inlineStr">
        <is>
          <t>2015-11-02</t>
        </is>
      </c>
      <c r="B204" t="n">
        <v>22.0822</v>
      </c>
      <c r="C204" t="n">
        <v>26.8267</v>
      </c>
    </row>
    <row r="205">
      <c r="A205" t="inlineStr">
        <is>
          <t>2015-11-03</t>
        </is>
      </c>
      <c r="B205" t="n">
        <v>22.0462</v>
      </c>
      <c r="C205" t="n">
        <v>26.7672</v>
      </c>
    </row>
    <row r="206">
      <c r="A206" t="inlineStr">
        <is>
          <t>2015-11-04</t>
        </is>
      </c>
      <c r="B206" t="n">
        <v>22.2453</v>
      </c>
      <c r="C206" t="n">
        <v>27.0075</v>
      </c>
    </row>
    <row r="207">
      <c r="A207" t="inlineStr">
        <is>
          <t>2015-11-05</t>
        </is>
      </c>
      <c r="B207" t="n">
        <v>22.0781</v>
      </c>
      <c r="C207" t="n">
        <v>26.7621</v>
      </c>
    </row>
    <row r="208">
      <c r="A208" t="inlineStr">
        <is>
          <t>2015-11-06</t>
        </is>
      </c>
      <c r="B208" t="n">
        <v>22.0613</v>
      </c>
      <c r="C208" t="n">
        <v>26.7839</v>
      </c>
    </row>
    <row r="209">
      <c r="A209" t="inlineStr">
        <is>
          <t>2015-11-09</t>
        </is>
      </c>
      <c r="B209" t="n">
        <v>21.851</v>
      </c>
      <c r="C209" t="n">
        <v>26.4849</v>
      </c>
    </row>
    <row r="210">
      <c r="A210" t="inlineStr">
        <is>
          <t>2015-11-10</t>
        </is>
      </c>
      <c r="B210" t="n">
        <v>21.7354</v>
      </c>
      <c r="C210" t="n">
        <v>26.3375</v>
      </c>
    </row>
    <row r="211">
      <c r="A211" t="inlineStr">
        <is>
          <t>2015-11-11</t>
        </is>
      </c>
      <c r="B211" t="n">
        <v>21.5923</v>
      </c>
      <c r="C211" t="n">
        <v>26.1878</v>
      </c>
    </row>
    <row r="212">
      <c r="A212" t="inlineStr">
        <is>
          <t>2015-11-12</t>
        </is>
      </c>
      <c r="B212" t="n">
        <v>21.5296</v>
      </c>
      <c r="C212" t="n">
        <v>26.0734</v>
      </c>
    </row>
    <row r="213">
      <c r="A213" t="inlineStr">
        <is>
          <t>2015-11-13</t>
        </is>
      </c>
      <c r="B213" t="n">
        <v>21.5212</v>
      </c>
      <c r="C213" t="n">
        <v>26.0232</v>
      </c>
    </row>
    <row r="214">
      <c r="A214" t="inlineStr">
        <is>
          <t>2015-11-16</t>
        </is>
      </c>
      <c r="B214" t="n">
        <v>21.6191</v>
      </c>
      <c r="C214" t="n">
        <v>26.161</v>
      </c>
    </row>
    <row r="215">
      <c r="A215" t="inlineStr">
        <is>
          <t>2015-11-17</t>
        </is>
      </c>
      <c r="B215" t="n">
        <v>21.6113</v>
      </c>
      <c r="C215" t="n">
        <v>26.1521</v>
      </c>
    </row>
    <row r="216">
      <c r="A216" t="inlineStr">
        <is>
          <t>2015-11-18</t>
        </is>
      </c>
      <c r="B216" t="n">
        <v>21.4246</v>
      </c>
      <c r="C216" t="n">
        <v>25.8604</v>
      </c>
    </row>
    <row r="217">
      <c r="A217" t="inlineStr">
        <is>
          <t>2015-11-19</t>
        </is>
      </c>
      <c r="B217" t="n">
        <v>21.5304</v>
      </c>
      <c r="C217" t="n">
        <v>26.0327</v>
      </c>
    </row>
    <row r="218">
      <c r="A218" t="inlineStr">
        <is>
          <t>2015-11-20</t>
        </is>
      </c>
      <c r="B218" t="n">
        <v>21.705</v>
      </c>
      <c r="C218" t="n">
        <v>26.2468</v>
      </c>
    </row>
    <row r="219">
      <c r="A219" t="inlineStr">
        <is>
          <t>2015-11-23</t>
        </is>
      </c>
      <c r="B219" t="n">
        <v>21.6549</v>
      </c>
      <c r="C219" t="n">
        <v>26.2266</v>
      </c>
    </row>
    <row r="220">
      <c r="A220" t="inlineStr">
        <is>
          <t>2015-11-24</t>
        </is>
      </c>
      <c r="B220" t="n">
        <v>21.5005</v>
      </c>
      <c r="C220" t="n">
        <v>26.0188</v>
      </c>
    </row>
    <row r="221">
      <c r="A221" t="inlineStr">
        <is>
          <t>2015-11-25</t>
        </is>
      </c>
      <c r="B221" t="n">
        <v>21.4629</v>
      </c>
      <c r="C221" t="n">
        <v>25.9611</v>
      </c>
    </row>
    <row r="222">
      <c r="A222" t="inlineStr">
        <is>
          <t>2015-11-26</t>
        </is>
      </c>
      <c r="B222" t="n">
        <v>21.1887</v>
      </c>
      <c r="C222" t="n">
        <v>25.6291</v>
      </c>
    </row>
    <row r="223">
      <c r="A223" t="inlineStr">
        <is>
          <t>2015-11-27</t>
        </is>
      </c>
      <c r="B223" t="n">
        <v>21.1344</v>
      </c>
      <c r="C223" t="n">
        <v>25.5655</v>
      </c>
    </row>
    <row r="224">
      <c r="A224" t="inlineStr">
        <is>
          <t>2015-11-30</t>
        </is>
      </c>
      <c r="B224" t="n">
        <v>21.0108</v>
      </c>
      <c r="C224" t="n">
        <v>25.4623</v>
      </c>
    </row>
    <row r="225">
      <c r="A225" t="inlineStr">
        <is>
          <t>2015-12-01</t>
        </is>
      </c>
      <c r="B225" t="n">
        <v>21.0283</v>
      </c>
      <c r="C225" t="n">
        <v>25.4793</v>
      </c>
    </row>
    <row r="226">
      <c r="A226" t="inlineStr">
        <is>
          <t>2015-12-02</t>
        </is>
      </c>
      <c r="B226" t="n">
        <v>20.7653</v>
      </c>
      <c r="C226" t="n">
        <v>25.1102</v>
      </c>
    </row>
    <row r="227">
      <c r="A227" t="inlineStr">
        <is>
          <t>2015-12-03</t>
        </is>
      </c>
      <c r="B227" t="n">
        <v>20.8869</v>
      </c>
      <c r="C227" t="n">
        <v>25.2299</v>
      </c>
    </row>
    <row r="228">
      <c r="A228" t="inlineStr">
        <is>
          <t>2015-12-04</t>
        </is>
      </c>
      <c r="B228" t="n">
        <v>20.7506</v>
      </c>
      <c r="C228" t="n">
        <v>25.0635</v>
      </c>
    </row>
    <row r="229">
      <c r="A229" t="inlineStr">
        <is>
          <t>2015-12-08</t>
        </is>
      </c>
      <c r="B229" t="n">
        <v>20.2694</v>
      </c>
      <c r="C229" t="n">
        <v>24.524</v>
      </c>
    </row>
    <row r="230">
      <c r="A230" t="inlineStr">
        <is>
          <t>2015-12-09</t>
        </is>
      </c>
      <c r="B230" t="n">
        <v>20.0809</v>
      </c>
      <c r="C230" t="n">
        <v>24.328</v>
      </c>
    </row>
    <row r="231">
      <c r="A231" t="inlineStr">
        <is>
          <t>2015-12-11</t>
        </is>
      </c>
      <c r="B231" t="n">
        <v>19.7936</v>
      </c>
      <c r="C231" t="n">
        <v>23.9756</v>
      </c>
    </row>
    <row r="232">
      <c r="A232" t="inlineStr">
        <is>
          <t>2015-12-14</t>
        </is>
      </c>
      <c r="B232" t="n">
        <v>19.636</v>
      </c>
      <c r="C232" t="n">
        <v>23.7631</v>
      </c>
    </row>
    <row r="233">
      <c r="A233" t="inlineStr">
        <is>
          <t>2015-12-15</t>
        </is>
      </c>
      <c r="B233" t="n">
        <v>20.2477</v>
      </c>
      <c r="C233" t="n">
        <v>24.4249</v>
      </c>
    </row>
    <row r="234">
      <c r="A234" t="inlineStr">
        <is>
          <t>2015-12-16</t>
        </is>
      </c>
      <c r="B234" t="n">
        <v>20.2285</v>
      </c>
      <c r="C234" t="n">
        <v>24.3903</v>
      </c>
    </row>
    <row r="235">
      <c r="A235" t="inlineStr">
        <is>
          <t>2015-12-17</t>
        </is>
      </c>
      <c r="B235" t="n">
        <v>20.3214</v>
      </c>
      <c r="C235" t="n">
        <v>24.5254</v>
      </c>
    </row>
    <row r="236">
      <c r="A236" t="inlineStr">
        <is>
          <t>2015-12-18</t>
        </is>
      </c>
      <c r="B236" t="n">
        <v>19.7814</v>
      </c>
      <c r="C236" t="n">
        <v>23.926</v>
      </c>
    </row>
    <row r="237">
      <c r="A237" t="inlineStr">
        <is>
          <t>2015-12-21</t>
        </is>
      </c>
      <c r="B237" t="n">
        <v>19.388</v>
      </c>
      <c r="C237" t="n">
        <v>23.5035</v>
      </c>
    </row>
    <row r="238">
      <c r="A238" t="inlineStr">
        <is>
          <t>2015-12-22</t>
        </is>
      </c>
      <c r="B238" t="n">
        <v>19.4072</v>
      </c>
      <c r="C238" t="n">
        <v>23.5197</v>
      </c>
    </row>
    <row r="239">
      <c r="A239" t="inlineStr">
        <is>
          <t>2015-12-23</t>
        </is>
      </c>
      <c r="B239" t="n">
        <v>19.6489</v>
      </c>
      <c r="C239" t="n">
        <v>23.7664</v>
      </c>
    </row>
    <row r="240">
      <c r="A240" t="inlineStr">
        <is>
          <t>2015-12-24</t>
        </is>
      </c>
      <c r="B240" t="n">
        <v>19.7995</v>
      </c>
      <c r="C240" t="n">
        <v>23.9302</v>
      </c>
    </row>
    <row r="241">
      <c r="A241" t="inlineStr">
        <is>
          <t>2015-12-25</t>
        </is>
      </c>
      <c r="B241" t="n">
        <v>19.7292</v>
      </c>
      <c r="C241" t="n">
        <v>23.8909</v>
      </c>
    </row>
    <row r="242">
      <c r="A242" t="inlineStr">
        <is>
          <t>2015-12-28</t>
        </is>
      </c>
      <c r="B242" t="n">
        <v>19.7104</v>
      </c>
      <c r="C242" t="n">
        <v>23.8986</v>
      </c>
    </row>
    <row r="243">
      <c r="A243" t="inlineStr">
        <is>
          <t>2015-12-29</t>
        </is>
      </c>
      <c r="B243" t="n">
        <v>19.6202</v>
      </c>
      <c r="C243" t="n">
        <v>23.793</v>
      </c>
    </row>
    <row r="244">
      <c r="A244" t="inlineStr">
        <is>
          <t>2015-12-30</t>
        </is>
      </c>
      <c r="B244" t="n">
        <v>19.6514</v>
      </c>
      <c r="C244" t="n">
        <v>23.8393</v>
      </c>
    </row>
    <row r="245">
      <c r="A245" t="inlineStr">
        <is>
          <t>2016-01-04</t>
        </is>
      </c>
      <c r="B245" t="n">
        <v>19.2041</v>
      </c>
      <c r="C245" t="n">
        <v>23.2985</v>
      </c>
    </row>
    <row r="246">
      <c r="A246" t="inlineStr">
        <is>
          <t>2016-01-05</t>
        </is>
      </c>
      <c r="B246" t="n">
        <v>18.9292</v>
      </c>
      <c r="C246" t="n">
        <v>23.0347</v>
      </c>
    </row>
    <row r="247">
      <c r="A247" t="inlineStr">
        <is>
          <t>2016-01-06</t>
        </is>
      </c>
      <c r="B247" t="n">
        <v>19.0912</v>
      </c>
      <c r="C247" t="n">
        <v>23.1634</v>
      </c>
    </row>
    <row r="248">
      <c r="A248" t="inlineStr">
        <is>
          <t>2016-01-07</t>
        </is>
      </c>
      <c r="B248" t="n">
        <v>18.4196</v>
      </c>
      <c r="C248" t="n">
        <v>22.3373</v>
      </c>
    </row>
    <row r="249">
      <c r="A249" t="inlineStr">
        <is>
          <t>2016-01-08</t>
        </is>
      </c>
      <c r="B249" t="n">
        <v>18.8332</v>
      </c>
      <c r="C249" t="n">
        <v>22.8075</v>
      </c>
    </row>
    <row r="250">
      <c r="A250" t="inlineStr">
        <is>
          <t>2016-01-11</t>
        </is>
      </c>
      <c r="B250" t="n">
        <v>18.6573</v>
      </c>
      <c r="C250" t="n">
        <v>22.5725</v>
      </c>
    </row>
    <row r="251">
      <c r="A251" t="inlineStr">
        <is>
          <t>2016-01-12</t>
        </is>
      </c>
      <c r="B251" t="n">
        <v>19.0593</v>
      </c>
      <c r="C251" t="n">
        <v>23.0469</v>
      </c>
    </row>
    <row r="252">
      <c r="A252" t="inlineStr">
        <is>
          <t>2016-01-13</t>
        </is>
      </c>
      <c r="B252" t="n">
        <v>19.5019</v>
      </c>
      <c r="C252" t="n">
        <v>23.5635</v>
      </c>
    </row>
    <row r="253">
      <c r="A253" t="inlineStr">
        <is>
          <t>2016-01-14</t>
        </is>
      </c>
      <c r="B253" t="n">
        <v>19.1557</v>
      </c>
      <c r="C253" t="n">
        <v>23.1572</v>
      </c>
    </row>
    <row r="254">
      <c r="A254" t="inlineStr">
        <is>
          <t>2016-01-15</t>
        </is>
      </c>
      <c r="B254" t="n">
        <v>18.7196</v>
      </c>
      <c r="C254" t="n">
        <v>22.6774</v>
      </c>
    </row>
    <row r="255">
      <c r="A255" t="inlineStr">
        <is>
          <t>2016-01-18</t>
        </is>
      </c>
      <c r="B255" t="n">
        <v>18.6782</v>
      </c>
      <c r="C255" t="n">
        <v>22.6263</v>
      </c>
    </row>
    <row r="256">
      <c r="A256" t="inlineStr">
        <is>
          <t>2016-01-19</t>
        </is>
      </c>
      <c r="B256" t="n">
        <v>19.1997</v>
      </c>
      <c r="C256" t="n">
        <v>23.1713</v>
      </c>
    </row>
    <row r="257">
      <c r="A257" t="inlineStr">
        <is>
          <t>2016-01-20</t>
        </is>
      </c>
      <c r="B257" t="n">
        <v>18.8362</v>
      </c>
      <c r="C257" t="n">
        <v>22.7328</v>
      </c>
    </row>
    <row r="258">
      <c r="A258" t="inlineStr">
        <is>
          <t>2016-01-21</t>
        </is>
      </c>
      <c r="B258" t="n">
        <v>18.8551</v>
      </c>
      <c r="C258" t="n">
        <v>22.7327</v>
      </c>
    </row>
    <row r="259">
      <c r="A259" t="inlineStr">
        <is>
          <t>2016-01-22</t>
        </is>
      </c>
      <c r="B259" t="n">
        <v>19.3135</v>
      </c>
      <c r="C259" t="n">
        <v>23.2732</v>
      </c>
    </row>
    <row r="260">
      <c r="A260" t="inlineStr">
        <is>
          <t>2016-01-25</t>
        </is>
      </c>
      <c r="B260" t="n">
        <v>19.3271</v>
      </c>
      <c r="C260" t="n">
        <v>23.2926</v>
      </c>
    </row>
    <row r="261">
      <c r="A261" t="inlineStr">
        <is>
          <t>2016-01-26</t>
        </is>
      </c>
      <c r="B261" t="n">
        <v>19.3302</v>
      </c>
      <c r="C261" t="n">
        <v>23.3</v>
      </c>
    </row>
    <row r="262">
      <c r="A262" t="inlineStr">
        <is>
          <t>2016-01-27</t>
        </is>
      </c>
      <c r="B262" t="n">
        <v>19.5593</v>
      </c>
      <c r="C262" t="n">
        <v>23.538</v>
      </c>
    </row>
    <row r="263">
      <c r="A263" t="inlineStr">
        <is>
          <t>2016-01-28</t>
        </is>
      </c>
      <c r="B263" t="n">
        <v>19.8958</v>
      </c>
      <c r="C263" t="n">
        <v>23.8508</v>
      </c>
    </row>
    <row r="264">
      <c r="A264" t="inlineStr">
        <is>
          <t>2016-01-29</t>
        </is>
      </c>
      <c r="B264" t="n">
        <v>20.2215</v>
      </c>
      <c r="C264" t="n">
        <v>24.2279</v>
      </c>
    </row>
    <row r="265">
      <c r="A265" t="inlineStr">
        <is>
          <t>2016-02-01</t>
        </is>
      </c>
      <c r="B265" t="n">
        <v>20.1093</v>
      </c>
      <c r="C265" t="n">
        <v>24.0962</v>
      </c>
    </row>
    <row r="266">
      <c r="A266" t="inlineStr">
        <is>
          <t>2016-02-02</t>
        </is>
      </c>
      <c r="B266" t="n">
        <v>19.8629</v>
      </c>
      <c r="C266" t="n">
        <v>23.7784</v>
      </c>
    </row>
    <row r="267">
      <c r="A267" t="inlineStr">
        <is>
          <t>2016-02-03</t>
        </is>
      </c>
      <c r="B267" t="n">
        <v>19.9986</v>
      </c>
      <c r="C267" t="n">
        <v>23.9471</v>
      </c>
    </row>
    <row r="268">
      <c r="A268" t="inlineStr">
        <is>
          <t>2016-02-04</t>
        </is>
      </c>
      <c r="B268" t="n">
        <v>20.0832</v>
      </c>
      <c r="C268" t="n">
        <v>24.0853</v>
      </c>
    </row>
    <row r="269">
      <c r="A269" t="inlineStr">
        <is>
          <t>2016-02-05</t>
        </is>
      </c>
      <c r="B269" t="n">
        <v>20.2494</v>
      </c>
      <c r="C269" t="n">
        <v>24.2893</v>
      </c>
    </row>
    <row r="270">
      <c r="A270" t="inlineStr">
        <is>
          <t>2016-02-08</t>
        </is>
      </c>
      <c r="B270" t="n">
        <v>20.167</v>
      </c>
      <c r="C270" t="n">
        <v>24.2046</v>
      </c>
    </row>
    <row r="271">
      <c r="A271" t="inlineStr">
        <is>
          <t>2016-02-09</t>
        </is>
      </c>
      <c r="B271" t="n">
        <v>20.0717</v>
      </c>
      <c r="C271" t="n">
        <v>24.1134</v>
      </c>
    </row>
    <row r="272">
      <c r="A272" t="inlineStr">
        <is>
          <t>2016-02-10</t>
        </is>
      </c>
      <c r="B272" t="n">
        <v>20.1112</v>
      </c>
      <c r="C272" t="n">
        <v>24.1282</v>
      </c>
    </row>
    <row r="273">
      <c r="A273" t="inlineStr">
        <is>
          <t>2016-02-11</t>
        </is>
      </c>
      <c r="B273" t="n">
        <v>19.7225</v>
      </c>
      <c r="C273" t="n">
        <v>23.6202</v>
      </c>
    </row>
    <row r="274">
      <c r="A274" t="inlineStr">
        <is>
          <t>2016-02-12</t>
        </is>
      </c>
      <c r="B274" t="n">
        <v>19.7379</v>
      </c>
      <c r="C274" t="n">
        <v>23.6177</v>
      </c>
    </row>
    <row r="275">
      <c r="A275" t="inlineStr">
        <is>
          <t>2016-02-15</t>
        </is>
      </c>
      <c r="B275" t="n">
        <v>19.952</v>
      </c>
      <c r="C275" t="n">
        <v>23.8636</v>
      </c>
    </row>
    <row r="276">
      <c r="A276" t="inlineStr">
        <is>
          <t>2016-02-16</t>
        </is>
      </c>
      <c r="B276" t="n">
        <v>19.9482</v>
      </c>
      <c r="C276" t="n">
        <v>23.9047</v>
      </c>
    </row>
    <row r="277">
      <c r="A277" t="inlineStr">
        <is>
          <t>2016-02-17</t>
        </is>
      </c>
      <c r="B277" t="n">
        <v>19.925</v>
      </c>
      <c r="C277" t="n">
        <v>23.9222</v>
      </c>
    </row>
    <row r="278">
      <c r="A278" t="inlineStr">
        <is>
          <t>2016-02-18</t>
        </is>
      </c>
      <c r="B278" t="n">
        <v>20.0904</v>
      </c>
      <c r="C278" t="n">
        <v>24.1508</v>
      </c>
    </row>
    <row r="279">
      <c r="A279" t="inlineStr">
        <is>
          <t>2016-02-19</t>
        </is>
      </c>
      <c r="B279" t="n">
        <v>20.6408</v>
      </c>
      <c r="C279" t="n">
        <v>24.8054</v>
      </c>
    </row>
    <row r="280">
      <c r="A280" t="inlineStr">
        <is>
          <t>2016-02-23</t>
        </is>
      </c>
      <c r="B280" t="n">
        <v>20.8032</v>
      </c>
      <c r="C280" t="n">
        <v>24.9233</v>
      </c>
    </row>
    <row r="281">
      <c r="A281" t="inlineStr">
        <is>
          <t>2016-02-24</t>
        </is>
      </c>
      <c r="B281" t="n">
        <v>20.921</v>
      </c>
      <c r="C281" t="n">
        <v>25.0173</v>
      </c>
    </row>
    <row r="282">
      <c r="A282" t="inlineStr">
        <is>
          <t>2016-02-25</t>
        </is>
      </c>
      <c r="B282" t="n">
        <v>20.9177</v>
      </c>
      <c r="C282" t="n">
        <v>25.0372</v>
      </c>
    </row>
    <row r="283">
      <c r="A283" t="inlineStr">
        <is>
          <t>2016-02-26</t>
        </is>
      </c>
      <c r="B283" t="n">
        <v>21.1339</v>
      </c>
      <c r="C283" t="n">
        <v>25.279</v>
      </c>
    </row>
    <row r="284">
      <c r="A284" t="inlineStr">
        <is>
          <t>2016-02-29</t>
        </is>
      </c>
      <c r="B284" t="n">
        <v>20.9046</v>
      </c>
      <c r="C284" t="n">
        <v>25.0326</v>
      </c>
    </row>
    <row r="285">
      <c r="A285" t="inlineStr">
        <is>
          <t>2016-03-01</t>
        </is>
      </c>
      <c r="B285" t="n">
        <v>21.2277</v>
      </c>
      <c r="C285" t="n">
        <v>25.4705</v>
      </c>
    </row>
    <row r="286">
      <c r="A286" t="inlineStr">
        <is>
          <t>2016-03-02</t>
        </is>
      </c>
      <c r="B286" t="n">
        <v>21.5838</v>
      </c>
      <c r="C286" t="n">
        <v>25.8999</v>
      </c>
    </row>
    <row r="287">
      <c r="A287" t="inlineStr">
        <is>
          <t>2016-03-03</t>
        </is>
      </c>
      <c r="B287" t="n">
        <v>21.9263</v>
      </c>
      <c r="C287" t="n">
        <v>26.2552</v>
      </c>
    </row>
    <row r="288">
      <c r="A288" t="inlineStr">
        <is>
          <t>2016-03-04</t>
        </is>
      </c>
      <c r="B288" t="n">
        <v>21.9725</v>
      </c>
      <c r="C288" t="n">
        <v>26.226</v>
      </c>
    </row>
    <row r="289">
      <c r="A289" t="inlineStr">
        <is>
          <t>2016-03-07</t>
        </is>
      </c>
      <c r="B289" t="n">
        <v>22.3764</v>
      </c>
      <c r="C289" t="n">
        <v>26.6832</v>
      </c>
    </row>
    <row r="290">
      <c r="A290" t="inlineStr">
        <is>
          <t>2016-03-08</t>
        </is>
      </c>
      <c r="B290" t="n">
        <v>21.9727</v>
      </c>
      <c r="C290" t="n">
        <v>26.1799</v>
      </c>
    </row>
    <row r="291">
      <c r="A291" t="inlineStr">
        <is>
          <t>2016-03-09</t>
        </is>
      </c>
      <c r="B291" t="n">
        <v>22.2513</v>
      </c>
      <c r="C291" t="n">
        <v>26.5535</v>
      </c>
    </row>
    <row r="292">
      <c r="A292" t="inlineStr">
        <is>
          <t>2016-03-10</t>
        </is>
      </c>
      <c r="B292" t="n">
        <v>21.9466</v>
      </c>
      <c r="C292" t="n">
        <v>26.1946</v>
      </c>
    </row>
    <row r="293">
      <c r="A293" t="inlineStr">
        <is>
          <t>2016-03-11</t>
        </is>
      </c>
      <c r="B293" t="n">
        <v>22.2236</v>
      </c>
      <c r="C293" t="n">
        <v>26.5382</v>
      </c>
    </row>
    <row r="294">
      <c r="A294" t="inlineStr">
        <is>
          <t>2016-03-14</t>
        </is>
      </c>
      <c r="B294" t="n">
        <v>22.1911</v>
      </c>
      <c r="C294" t="n">
        <v>26.5328</v>
      </c>
    </row>
    <row r="295">
      <c r="A295" t="inlineStr">
        <is>
          <t>2016-03-15</t>
        </is>
      </c>
      <c r="B295" t="n">
        <v>21.9238</v>
      </c>
      <c r="C295" t="n">
        <v>26.2262</v>
      </c>
    </row>
    <row r="296">
      <c r="A296" t="inlineStr">
        <is>
          <t>2016-03-16</t>
        </is>
      </c>
      <c r="B296" t="n">
        <v>21.7824</v>
      </c>
      <c r="C296" t="n">
        <v>26.0536</v>
      </c>
    </row>
    <row r="297">
      <c r="A297" t="inlineStr">
        <is>
          <t>2016-03-17</t>
        </is>
      </c>
      <c r="B297" t="n">
        <v>21.845</v>
      </c>
      <c r="C297" t="n">
        <v>26.1472</v>
      </c>
    </row>
    <row r="298">
      <c r="A298" t="inlineStr">
        <is>
          <t>2016-03-18</t>
        </is>
      </c>
      <c r="B298" t="n">
        <v>21.9064</v>
      </c>
      <c r="C298" t="n">
        <v>26.2208</v>
      </c>
    </row>
    <row r="299">
      <c r="A299" t="inlineStr">
        <is>
          <t>2016-03-21</t>
        </is>
      </c>
      <c r="B299" t="n">
        <v>22.1355</v>
      </c>
      <c r="C299" t="n">
        <v>26.5126</v>
      </c>
    </row>
    <row r="300">
      <c r="A300" t="inlineStr">
        <is>
          <t>2016-03-22</t>
        </is>
      </c>
      <c r="B300" t="n">
        <v>22.2754</v>
      </c>
      <c r="C300" t="n">
        <v>26.6067</v>
      </c>
    </row>
    <row r="301">
      <c r="A301" t="inlineStr">
        <is>
          <t>2016-03-23</t>
        </is>
      </c>
      <c r="B301" t="n">
        <v>22.5239</v>
      </c>
      <c r="C301" t="n">
        <v>26.9474</v>
      </c>
    </row>
    <row r="302">
      <c r="A302" t="inlineStr">
        <is>
          <t>2016-03-24</t>
        </is>
      </c>
      <c r="B302" t="n">
        <v>22.3818</v>
      </c>
      <c r="C302" t="n">
        <v>26.7671</v>
      </c>
    </row>
    <row r="303">
      <c r="A303" t="inlineStr">
        <is>
          <t>2016-03-25</t>
        </is>
      </c>
      <c r="B303" t="n">
        <v>22.1593</v>
      </c>
      <c r="C303" t="n">
        <v>26.4723</v>
      </c>
    </row>
    <row r="304">
      <c r="A304" t="inlineStr">
        <is>
          <t>2016-03-28</t>
        </is>
      </c>
      <c r="B304" t="n">
        <v>22.0585</v>
      </c>
      <c r="C304" t="n">
        <v>26.3496</v>
      </c>
    </row>
    <row r="305">
      <c r="A305" t="inlineStr">
        <is>
          <t>2016-03-29</t>
        </is>
      </c>
      <c r="B305" t="n">
        <v>22.1278</v>
      </c>
      <c r="C305" t="n">
        <v>26.4142</v>
      </c>
    </row>
    <row r="306">
      <c r="A306" t="inlineStr">
        <is>
          <t>2016-03-30</t>
        </is>
      </c>
      <c r="B306" t="n">
        <v>22.4577</v>
      </c>
      <c r="C306" t="n">
        <v>26.8169</v>
      </c>
    </row>
    <row r="307">
      <c r="A307" t="inlineStr">
        <is>
          <t>2016-03-31</t>
        </is>
      </c>
      <c r="B307" t="n">
        <v>22.4612</v>
      </c>
      <c r="C307" t="n">
        <v>26.7904</v>
      </c>
    </row>
    <row r="308">
      <c r="A308" t="inlineStr">
        <is>
          <t>2016-04-01</t>
        </is>
      </c>
      <c r="B308" t="n">
        <v>22.3295</v>
      </c>
      <c r="C308" t="n">
        <v>26.5994</v>
      </c>
    </row>
    <row r="309">
      <c r="A309" t="inlineStr">
        <is>
          <t>2016-04-04</t>
        </is>
      </c>
      <c r="B309" t="n">
        <v>22.3104</v>
      </c>
      <c r="C309" t="n">
        <v>26.5873</v>
      </c>
    </row>
    <row r="310">
      <c r="A310" t="inlineStr">
        <is>
          <t>2016-04-05</t>
        </is>
      </c>
      <c r="B310" t="n">
        <v>21.7388</v>
      </c>
      <c r="C310" t="n">
        <v>25.9398</v>
      </c>
    </row>
    <row r="311">
      <c r="A311" t="inlineStr">
        <is>
          <t>2016-04-07</t>
        </is>
      </c>
      <c r="B311" t="n">
        <v>21.399</v>
      </c>
      <c r="C311" t="n">
        <v>25.5319</v>
      </c>
    </row>
    <row r="312">
      <c r="A312" t="inlineStr">
        <is>
          <t>2016-04-08</t>
        </is>
      </c>
      <c r="B312" t="n">
        <v>21.648</v>
      </c>
      <c r="C312" t="n">
        <v>25.8452</v>
      </c>
    </row>
    <row r="313">
      <c r="A313" t="inlineStr">
        <is>
          <t>2016-04-11</t>
        </is>
      </c>
      <c r="B313" t="n">
        <v>21.5951</v>
      </c>
      <c r="C313" t="n">
        <v>25.7849</v>
      </c>
    </row>
    <row r="314">
      <c r="A314" t="inlineStr">
        <is>
          <t>2016-04-12</t>
        </is>
      </c>
      <c r="B314" t="n">
        <v>21.8621</v>
      </c>
      <c r="C314" t="n">
        <v>26.1307</v>
      </c>
    </row>
    <row r="315">
      <c r="A315" t="inlineStr">
        <is>
          <t>2016-04-18</t>
        </is>
      </c>
      <c r="B315" t="n">
        <v>22.131</v>
      </c>
      <c r="C315" t="n">
        <v>26.4658</v>
      </c>
    </row>
    <row r="316">
      <c r="A316" t="inlineStr">
        <is>
          <t>2016-04-19</t>
        </is>
      </c>
      <c r="B316" t="n">
        <v>22.4531</v>
      </c>
      <c r="C316" t="n">
        <v>26.8914</v>
      </c>
    </row>
    <row r="317">
      <c r="A317" t="inlineStr">
        <is>
          <t>2016-04-20</t>
        </is>
      </c>
      <c r="B317" t="n">
        <v>22.4109</v>
      </c>
      <c r="C317" t="n">
        <v>26.8463</v>
      </c>
    </row>
    <row r="318">
      <c r="A318" t="inlineStr">
        <is>
          <t>2016-04-21</t>
        </is>
      </c>
      <c r="B318" t="n">
        <v>22.5861</v>
      </c>
      <c r="C318" t="n">
        <v>27.0552</v>
      </c>
    </row>
    <row r="319">
      <c r="A319" t="inlineStr">
        <is>
          <t>2016-04-22</t>
        </is>
      </c>
      <c r="B319" t="n">
        <v>22.3122</v>
      </c>
      <c r="C319" t="n">
        <v>26.7321</v>
      </c>
    </row>
    <row r="320">
      <c r="A320" t="inlineStr">
        <is>
          <t>2016-04-25</t>
        </is>
      </c>
      <c r="B320" t="n">
        <v>22.312</v>
      </c>
      <c r="C320" t="n">
        <v>26.6953</v>
      </c>
    </row>
    <row r="321">
      <c r="A321" t="inlineStr">
        <is>
          <t>2016-04-26</t>
        </is>
      </c>
      <c r="B321" t="n">
        <v>22.49</v>
      </c>
      <c r="C321" t="n">
        <v>26.9185</v>
      </c>
    </row>
    <row r="322">
      <c r="A322" t="inlineStr">
        <is>
          <t>2016-04-27</t>
        </is>
      </c>
      <c r="B322" t="n">
        <v>22.3048</v>
      </c>
      <c r="C322" t="n">
        <v>26.749</v>
      </c>
    </row>
    <row r="323">
      <c r="A323" t="inlineStr">
        <is>
          <t>2016-04-28</t>
        </is>
      </c>
      <c r="B323" t="n">
        <v>22.1312</v>
      </c>
      <c r="C323" t="n">
        <v>26.5016</v>
      </c>
    </row>
    <row r="324">
      <c r="A324" t="inlineStr">
        <is>
          <t>2016-04-29</t>
        </is>
      </c>
      <c r="B324" t="n">
        <v>22.2692</v>
      </c>
      <c r="C324" t="n">
        <v>26.6608</v>
      </c>
    </row>
    <row r="325">
      <c r="A325" t="inlineStr">
        <is>
          <t>2016-05-03</t>
        </is>
      </c>
      <c r="B325" t="n">
        <v>22.1445</v>
      </c>
      <c r="C325" t="n">
        <v>26.5075</v>
      </c>
    </row>
    <row r="326">
      <c r="A326" t="inlineStr">
        <is>
          <t>2016-05-04</t>
        </is>
      </c>
      <c r="B326" t="n">
        <v>22.0393</v>
      </c>
      <c r="C326" t="n">
        <v>26.383</v>
      </c>
    </row>
    <row r="327">
      <c r="A327" t="inlineStr">
        <is>
          <t>2016-05-09</t>
        </is>
      </c>
      <c r="B327" t="n">
        <v>22.1218</v>
      </c>
      <c r="C327" t="n">
        <v>26.5286</v>
      </c>
    </row>
    <row r="328">
      <c r="A328" t="inlineStr">
        <is>
          <t>2016-05-10</t>
        </is>
      </c>
      <c r="B328" t="n">
        <v>22.042</v>
      </c>
      <c r="C328" t="n">
        <v>26.4423</v>
      </c>
    </row>
    <row r="329">
      <c r="A329" t="inlineStr">
        <is>
          <t>2016-05-11</t>
        </is>
      </c>
      <c r="B329" t="n">
        <v>21.7803</v>
      </c>
      <c r="C329" t="n">
        <v>26.1999</v>
      </c>
    </row>
    <row r="330">
      <c r="A330" t="inlineStr">
        <is>
          <t>2016-05-12</t>
        </is>
      </c>
      <c r="B330" t="n">
        <v>22.1477</v>
      </c>
      <c r="C330" t="n">
        <v>26.6682</v>
      </c>
    </row>
    <row r="331">
      <c r="A331" t="inlineStr">
        <is>
          <t>2016-05-13</t>
        </is>
      </c>
      <c r="B331" t="n">
        <v>21.9962</v>
      </c>
      <c r="C331" t="n">
        <v>26.5352</v>
      </c>
    </row>
    <row r="332">
      <c r="A332" t="inlineStr">
        <is>
          <t>2016-05-16</t>
        </is>
      </c>
      <c r="B332" t="n">
        <v>22.0929</v>
      </c>
      <c r="C332" t="n">
        <v>26.6271</v>
      </c>
    </row>
    <row r="333">
      <c r="A333" t="inlineStr">
        <is>
          <t>2016-05-17</t>
        </is>
      </c>
      <c r="B333" t="n">
        <v>21.5872</v>
      </c>
      <c r="C333" t="n">
        <v>26.9335</v>
      </c>
    </row>
    <row r="334">
      <c r="A334" t="inlineStr">
        <is>
          <t>2016-05-18</t>
        </is>
      </c>
      <c r="B334" t="n">
        <v>21.4436</v>
      </c>
      <c r="C334" t="n">
        <v>26.7978</v>
      </c>
    </row>
    <row r="335">
      <c r="A335" t="inlineStr">
        <is>
          <t>2016-05-19</t>
        </is>
      </c>
      <c r="B335" t="n">
        <v>21.1727</v>
      </c>
      <c r="C335" t="n">
        <v>26.4653</v>
      </c>
    </row>
    <row r="336">
      <c r="A336" t="inlineStr">
        <is>
          <t>2016-05-23</t>
        </is>
      </c>
      <c r="B336" t="n">
        <v>21.1166</v>
      </c>
      <c r="C336" t="n">
        <v>26.4023</v>
      </c>
    </row>
    <row r="337">
      <c r="A337" t="inlineStr">
        <is>
          <t>2016-05-24</t>
        </is>
      </c>
      <c r="B337" t="n">
        <v>21.1222</v>
      </c>
      <c r="C337" t="n">
        <v>26.4101</v>
      </c>
    </row>
    <row r="338">
      <c r="A338" t="inlineStr">
        <is>
          <t>2016-05-25</t>
        </is>
      </c>
      <c r="B338" t="n">
        <v>21.3439</v>
      </c>
      <c r="C338" t="n">
        <v>26.6928</v>
      </c>
    </row>
    <row r="339">
      <c r="A339" t="inlineStr">
        <is>
          <t>2016-05-26</t>
        </is>
      </c>
      <c r="B339" t="n">
        <v>21.4331</v>
      </c>
      <c r="C339" t="n">
        <v>26.7541</v>
      </c>
    </row>
    <row r="340">
      <c r="A340" t="inlineStr">
        <is>
          <t>2016-05-27</t>
        </is>
      </c>
      <c r="B340" t="n">
        <v>21.6273</v>
      </c>
      <c r="C340" t="n">
        <v>27.0352</v>
      </c>
    </row>
    <row r="341">
      <c r="A341" t="inlineStr">
        <is>
          <t>2016-05-30</t>
        </is>
      </c>
      <c r="B341" t="n">
        <v>21.8365</v>
      </c>
      <c r="C341" t="n">
        <v>27.2944</v>
      </c>
    </row>
    <row r="342">
      <c r="A342" t="inlineStr">
        <is>
          <t>2016-05-31</t>
        </is>
      </c>
      <c r="B342" t="n">
        <v>21.8518</v>
      </c>
      <c r="C342" t="n">
        <v>27.2673</v>
      </c>
    </row>
    <row r="343">
      <c r="A343" t="inlineStr">
        <is>
          <t>2016-06-01</t>
        </is>
      </c>
      <c r="B343" t="n">
        <v>21.6774</v>
      </c>
      <c r="C343" t="n">
        <v>27.0293</v>
      </c>
    </row>
    <row r="344">
      <c r="A344" t="inlineStr">
        <is>
          <t>2016-06-02</t>
        </is>
      </c>
      <c r="B344" t="n">
        <v>21.764</v>
      </c>
      <c r="C344" t="n">
        <v>27.1452</v>
      </c>
    </row>
    <row r="345">
      <c r="A345" t="inlineStr">
        <is>
          <t>2016-06-03</t>
        </is>
      </c>
      <c r="B345" t="n">
        <v>21.9889</v>
      </c>
      <c r="C345" t="n">
        <v>27.434</v>
      </c>
    </row>
    <row r="346">
      <c r="A346" t="inlineStr">
        <is>
          <t>2016-06-06</t>
        </is>
      </c>
      <c r="B346" t="n">
        <v>22.0777</v>
      </c>
      <c r="C346" t="n">
        <v>27.5597</v>
      </c>
    </row>
    <row r="347">
      <c r="A347" t="inlineStr">
        <is>
          <t>2016-06-07</t>
        </is>
      </c>
      <c r="B347" t="n">
        <v>22.0732</v>
      </c>
      <c r="C347" t="n">
        <v>27.5626</v>
      </c>
    </row>
    <row r="348">
      <c r="A348" t="inlineStr">
        <is>
          <t>2016-06-08</t>
        </is>
      </c>
      <c r="B348" t="n">
        <v>22.0983</v>
      </c>
      <c r="C348" t="n">
        <v>27.6242</v>
      </c>
    </row>
    <row r="349">
      <c r="A349" t="inlineStr">
        <is>
          <t>2016-06-09</t>
        </is>
      </c>
      <c r="B349" t="n">
        <v>21.914</v>
      </c>
      <c r="C349" t="n">
        <v>27.3587</v>
      </c>
    </row>
    <row r="350">
      <c r="A350" t="inlineStr">
        <is>
          <t>2016-06-10</t>
        </is>
      </c>
      <c r="B350" t="n">
        <v>21.8132</v>
      </c>
      <c r="C350" t="n">
        <v>27.2146</v>
      </c>
    </row>
    <row r="351">
      <c r="A351" t="inlineStr">
        <is>
          <t>2016-06-13</t>
        </is>
      </c>
      <c r="B351" t="n">
        <v>21.6328</v>
      </c>
      <c r="C351" t="n">
        <v>27.0041</v>
      </c>
    </row>
    <row r="352">
      <c r="A352" t="inlineStr">
        <is>
          <t>2016-06-14</t>
        </is>
      </c>
      <c r="B352" t="n">
        <v>21.7314</v>
      </c>
      <c r="C352" t="n">
        <v>27.138</v>
      </c>
    </row>
    <row r="353">
      <c r="A353" t="inlineStr">
        <is>
          <t>2016-06-15</t>
        </is>
      </c>
      <c r="B353" t="n">
        <v>21.8413</v>
      </c>
      <c r="C353" t="n">
        <v>27.2724</v>
      </c>
    </row>
    <row r="354">
      <c r="A354" t="inlineStr">
        <is>
          <t>2016-06-16</t>
        </is>
      </c>
      <c r="B354" t="n">
        <v>21.3906</v>
      </c>
      <c r="C354" t="n">
        <v>26.7293</v>
      </c>
    </row>
    <row r="355">
      <c r="A355" t="inlineStr">
        <is>
          <t>2016-06-17</t>
        </is>
      </c>
      <c r="B355" t="n">
        <v>21.5302</v>
      </c>
      <c r="C355" t="n">
        <v>26.937</v>
      </c>
    </row>
    <row r="356">
      <c r="A356" t="inlineStr">
        <is>
          <t>2016-06-20</t>
        </is>
      </c>
      <c r="B356" t="n">
        <v>21.533</v>
      </c>
      <c r="C356" t="n">
        <v>26.9645</v>
      </c>
    </row>
    <row r="357">
      <c r="A357" t="inlineStr">
        <is>
          <t>2016-06-21</t>
        </is>
      </c>
      <c r="B357" t="n">
        <v>21.6468</v>
      </c>
      <c r="C357" t="n">
        <v>27.1602</v>
      </c>
    </row>
    <row r="358">
      <c r="A358" t="inlineStr">
        <is>
          <t>2016-06-22</t>
        </is>
      </c>
      <c r="B358" t="n">
        <v>21.5235</v>
      </c>
      <c r="C358" t="n">
        <v>27</v>
      </c>
    </row>
    <row r="359">
      <c r="A359" t="inlineStr">
        <is>
          <t>2016-06-23</t>
        </is>
      </c>
      <c r="B359" t="n">
        <v>21.7977</v>
      </c>
      <c r="C359" t="n">
        <v>27.3305</v>
      </c>
    </row>
    <row r="360">
      <c r="A360" t="inlineStr">
        <is>
          <t>2016-06-24</t>
        </is>
      </c>
      <c r="B360" t="n">
        <v>21.3508</v>
      </c>
      <c r="C360" t="n">
        <v>26.7147</v>
      </c>
    </row>
    <row r="361">
      <c r="A361" t="inlineStr">
        <is>
          <t>2016-06-27</t>
        </is>
      </c>
      <c r="B361" t="n">
        <v>21.4886</v>
      </c>
      <c r="C361" t="n">
        <v>26.8527</v>
      </c>
    </row>
    <row r="362">
      <c r="A362" t="inlineStr">
        <is>
          <t>2016-06-28</t>
        </is>
      </c>
      <c r="B362" t="n">
        <v>21.6504</v>
      </c>
      <c r="C362" t="n">
        <v>27.0761</v>
      </c>
    </row>
    <row r="363">
      <c r="A363" t="inlineStr">
        <is>
          <t>2016-06-29</t>
        </is>
      </c>
      <c r="B363" t="n">
        <v>21.7812</v>
      </c>
      <c r="C363" t="n">
        <v>27.1968</v>
      </c>
    </row>
    <row r="364">
      <c r="A364" t="inlineStr">
        <is>
          <t>2016-06-30</t>
        </is>
      </c>
      <c r="B364" t="n">
        <v>21.8152</v>
      </c>
      <c r="C364" t="n">
        <v>27.2383</v>
      </c>
    </row>
    <row r="365">
      <c r="A365" t="inlineStr">
        <is>
          <t>2016-07-04</t>
        </is>
      </c>
      <c r="B365" t="n">
        <v>22.0158</v>
      </c>
      <c r="C365" t="n">
        <v>27.4735</v>
      </c>
    </row>
    <row r="366">
      <c r="A366" t="inlineStr">
        <is>
          <t>2016-07-05</t>
        </is>
      </c>
      <c r="B366" t="n">
        <v>21.9083</v>
      </c>
      <c r="C366" t="n">
        <v>27.32</v>
      </c>
    </row>
    <row r="367">
      <c r="A367" t="inlineStr">
        <is>
          <t>2016-07-06</t>
        </is>
      </c>
      <c r="B367" t="n">
        <v>21.8834</v>
      </c>
      <c r="C367" t="n">
        <v>27.3249</v>
      </c>
    </row>
    <row r="368">
      <c r="A368" t="inlineStr">
        <is>
          <t>2016-07-07</t>
        </is>
      </c>
      <c r="B368" t="n">
        <v>21.9624</v>
      </c>
      <c r="C368" t="n">
        <v>27.3755</v>
      </c>
    </row>
    <row r="369">
      <c r="A369" t="inlineStr">
        <is>
          <t>2016-07-08</t>
        </is>
      </c>
      <c r="B369" t="n">
        <v>21.9486</v>
      </c>
      <c r="C369" t="n">
        <v>27.3867</v>
      </c>
    </row>
    <row r="370">
      <c r="A370" t="inlineStr">
        <is>
          <t>2016-07-11</t>
        </is>
      </c>
      <c r="B370" t="n">
        <v>22.2055</v>
      </c>
      <c r="C370" t="n">
        <v>27.6828</v>
      </c>
    </row>
    <row r="371">
      <c r="A371" t="inlineStr">
        <is>
          <t>2016-07-12</t>
        </is>
      </c>
      <c r="B371" t="n">
        <v>22.2789</v>
      </c>
      <c r="C371" t="n">
        <v>27.8271</v>
      </c>
    </row>
    <row r="372">
      <c r="A372" t="inlineStr">
        <is>
          <t>2016-07-13</t>
        </is>
      </c>
      <c r="B372" t="n">
        <v>22.3127</v>
      </c>
      <c r="C372" t="n">
        <v>27.9245</v>
      </c>
    </row>
    <row r="373">
      <c r="A373" t="inlineStr">
        <is>
          <t>2016-07-14</t>
        </is>
      </c>
      <c r="B373" t="n">
        <v>22.5029</v>
      </c>
      <c r="C373" t="n">
        <v>28.1744</v>
      </c>
    </row>
    <row r="374">
      <c r="A374" t="inlineStr">
        <is>
          <t>2016-07-15</t>
        </is>
      </c>
      <c r="B374" t="n">
        <v>22.5267</v>
      </c>
      <c r="C374" t="n">
        <v>28.1805</v>
      </c>
    </row>
    <row r="375">
      <c r="A375" t="inlineStr">
        <is>
          <t>2016-07-20</t>
        </is>
      </c>
      <c r="B375" t="n">
        <v>22.8841</v>
      </c>
      <c r="C375" t="n">
        <v>28.6471</v>
      </c>
    </row>
    <row r="376">
      <c r="A376" t="inlineStr">
        <is>
          <t>2016-07-21</t>
        </is>
      </c>
      <c r="B376" t="n">
        <v>22.7531</v>
      </c>
      <c r="C376" t="n">
        <v>28.5007</v>
      </c>
    </row>
    <row r="377">
      <c r="A377" t="inlineStr">
        <is>
          <t>2016-07-22</t>
        </is>
      </c>
      <c r="B377" t="n">
        <v>22.9135</v>
      </c>
      <c r="C377" t="n">
        <v>28.6508</v>
      </c>
    </row>
    <row r="378">
      <c r="A378" t="inlineStr">
        <is>
          <t>2016-07-25</t>
        </is>
      </c>
      <c r="B378" t="n">
        <v>22.9038</v>
      </c>
      <c r="C378" t="n">
        <v>28.6681</v>
      </c>
    </row>
    <row r="379">
      <c r="A379" t="inlineStr">
        <is>
          <t>2016-07-26</t>
        </is>
      </c>
      <c r="B379" t="n">
        <v>22.7221</v>
      </c>
      <c r="C379" t="n">
        <v>28.4576</v>
      </c>
    </row>
    <row r="380">
      <c r="A380" t="inlineStr">
        <is>
          <t>2016-07-27</t>
        </is>
      </c>
      <c r="B380" t="n">
        <v>22.907</v>
      </c>
      <c r="C380" t="n">
        <v>28.6808</v>
      </c>
    </row>
    <row r="381">
      <c r="A381" t="inlineStr">
        <is>
          <t>2016-07-28</t>
        </is>
      </c>
      <c r="B381" t="n">
        <v>23.0906</v>
      </c>
      <c r="C381" t="n">
        <v>28.8986</v>
      </c>
    </row>
    <row r="382">
      <c r="A382" t="inlineStr">
        <is>
          <t>2016-07-29</t>
        </is>
      </c>
      <c r="B382" t="n">
        <v>23.0282</v>
      </c>
      <c r="C382" t="n">
        <v>28.8152</v>
      </c>
    </row>
    <row r="383">
      <c r="A383" t="inlineStr">
        <is>
          <t>2016-08-01</t>
        </is>
      </c>
      <c r="B383" t="n">
        <v>22.8135</v>
      </c>
      <c r="C383" t="n">
        <v>28.5718</v>
      </c>
    </row>
    <row r="384">
      <c r="A384" t="inlineStr">
        <is>
          <t>2016-08-02</t>
        </is>
      </c>
      <c r="B384" t="n">
        <v>22.5934</v>
      </c>
      <c r="C384" t="n">
        <v>28.2523</v>
      </c>
    </row>
    <row r="385">
      <c r="A385" t="inlineStr">
        <is>
          <t>2016-08-03</t>
        </is>
      </c>
      <c r="B385" t="n">
        <v>22.7595</v>
      </c>
      <c r="C385" t="n">
        <v>28.4739</v>
      </c>
    </row>
    <row r="386">
      <c r="A386" t="inlineStr">
        <is>
          <t>2016-08-04</t>
        </is>
      </c>
      <c r="B386" t="n">
        <v>22.7525</v>
      </c>
      <c r="C386" t="n">
        <v>28.491</v>
      </c>
    </row>
    <row r="387">
      <c r="A387" t="inlineStr">
        <is>
          <t>2016-08-05</t>
        </is>
      </c>
      <c r="B387" t="n">
        <v>22.9652</v>
      </c>
      <c r="C387" t="n">
        <v>28.7603</v>
      </c>
    </row>
    <row r="388">
      <c r="A388" t="inlineStr">
        <is>
          <t>2016-08-08</t>
        </is>
      </c>
      <c r="B388" t="n">
        <v>23.4662</v>
      </c>
      <c r="C388" t="n">
        <v>29.3931</v>
      </c>
    </row>
    <row r="389">
      <c r="A389" t="inlineStr">
        <is>
          <t>2016-08-09</t>
        </is>
      </c>
      <c r="B389" t="n">
        <v>23.523</v>
      </c>
      <c r="C389" t="n">
        <v>29.4886</v>
      </c>
    </row>
    <row r="390">
      <c r="A390" t="inlineStr">
        <is>
          <t>2016-08-10</t>
        </is>
      </c>
      <c r="B390" t="n">
        <v>23.5914</v>
      </c>
      <c r="C390" t="n">
        <v>29.5076</v>
      </c>
    </row>
    <row r="391">
      <c r="A391" t="inlineStr">
        <is>
          <t>2016-08-11</t>
        </is>
      </c>
      <c r="B391" t="n">
        <v>23.692</v>
      </c>
      <c r="C391" t="n">
        <v>29.6332</v>
      </c>
    </row>
    <row r="392">
      <c r="A392" t="inlineStr">
        <is>
          <t>2016-08-15</t>
        </is>
      </c>
      <c r="B392" t="n">
        <v>23.697</v>
      </c>
      <c r="C392" t="n">
        <v>29.6381</v>
      </c>
    </row>
    <row r="393">
      <c r="A393" t="inlineStr">
        <is>
          <t>2016-08-16</t>
        </is>
      </c>
      <c r="B393" t="n">
        <v>23.5157</v>
      </c>
      <c r="C393" t="n">
        <v>29.4269</v>
      </c>
    </row>
    <row r="394">
      <c r="A394" t="inlineStr">
        <is>
          <t>2016-08-17</t>
        </is>
      </c>
      <c r="B394" t="n">
        <v>23.4157</v>
      </c>
      <c r="C394" t="n">
        <v>29.2786</v>
      </c>
    </row>
    <row r="395">
      <c r="A395" t="inlineStr">
        <is>
          <t>2016-08-18</t>
        </is>
      </c>
      <c r="B395" t="n">
        <v>23.6591</v>
      </c>
      <c r="C395" t="n">
        <v>29.6071</v>
      </c>
    </row>
    <row r="396">
      <c r="A396" t="inlineStr">
        <is>
          <t>2016-08-19</t>
        </is>
      </c>
      <c r="B396" t="n">
        <v>23.4976</v>
      </c>
      <c r="C396" t="n">
        <v>29.4186</v>
      </c>
    </row>
    <row r="397">
      <c r="A397" t="inlineStr">
        <is>
          <t>2016-08-22</t>
        </is>
      </c>
      <c r="B397" t="n">
        <v>23.5365</v>
      </c>
      <c r="C397" t="n">
        <v>29.4746</v>
      </c>
    </row>
    <row r="398">
      <c r="A398" t="inlineStr">
        <is>
          <t>2016-08-23</t>
        </is>
      </c>
      <c r="B398" t="n">
        <v>23.52</v>
      </c>
      <c r="C398" t="n">
        <v>29.4535</v>
      </c>
    </row>
    <row r="399">
      <c r="A399" t="inlineStr">
        <is>
          <t>2016-08-24</t>
        </is>
      </c>
      <c r="B399" t="n">
        <v>23.6644</v>
      </c>
      <c r="C399" t="n">
        <v>29.6199</v>
      </c>
    </row>
    <row r="400">
      <c r="A400" t="inlineStr">
        <is>
          <t>2016-08-25</t>
        </is>
      </c>
      <c r="B400" t="n">
        <v>23.5917</v>
      </c>
      <c r="C400" t="n">
        <v>29.5522</v>
      </c>
    </row>
    <row r="401">
      <c r="A401" t="inlineStr">
        <is>
          <t>2016-08-26</t>
        </is>
      </c>
      <c r="B401" t="n">
        <v>23.6465</v>
      </c>
      <c r="C401" t="n">
        <v>29.6621</v>
      </c>
    </row>
    <row r="402">
      <c r="A402" t="inlineStr">
        <is>
          <t>2016-08-29</t>
        </is>
      </c>
      <c r="B402" t="n">
        <v>23.5445</v>
      </c>
      <c r="C402" t="n">
        <v>29.5211</v>
      </c>
    </row>
    <row r="403">
      <c r="A403" t="inlineStr">
        <is>
          <t>2016-08-30</t>
        </is>
      </c>
      <c r="B403" t="n">
        <v>23.5569</v>
      </c>
      <c r="C403" t="n">
        <v>29.5391</v>
      </c>
    </row>
    <row r="404">
      <c r="A404" t="inlineStr">
        <is>
          <t>2016-08-31</t>
        </is>
      </c>
      <c r="B404" t="n">
        <v>23.5835</v>
      </c>
      <c r="C404" t="n">
        <v>29.5978</v>
      </c>
    </row>
    <row r="405">
      <c r="A405" t="inlineStr">
        <is>
          <t>2016-09-01</t>
        </is>
      </c>
      <c r="B405" t="n">
        <v>23.5047</v>
      </c>
      <c r="C405" t="n">
        <v>29.4694</v>
      </c>
    </row>
    <row r="406">
      <c r="A406" t="inlineStr">
        <is>
          <t>2016-09-02</t>
        </is>
      </c>
      <c r="B406" t="n">
        <v>23.2014</v>
      </c>
      <c r="C406" t="n">
        <v>29.075</v>
      </c>
    </row>
    <row r="407">
      <c r="A407" t="inlineStr">
        <is>
          <t>2016-09-05</t>
        </is>
      </c>
      <c r="B407" t="n">
        <v>22.8972</v>
      </c>
      <c r="C407" t="n">
        <v>28.621</v>
      </c>
    </row>
    <row r="408">
      <c r="A408" t="inlineStr">
        <is>
          <t>2016-09-06</t>
        </is>
      </c>
      <c r="B408" t="n">
        <v>22.9272</v>
      </c>
      <c r="C408" t="n">
        <v>28.6748</v>
      </c>
    </row>
    <row r="409">
      <c r="A409" t="inlineStr">
        <is>
          <t>2016-09-07</t>
        </is>
      </c>
      <c r="B409" t="n">
        <v>22.8125</v>
      </c>
      <c r="C409" t="n">
        <v>28.475</v>
      </c>
    </row>
    <row r="410">
      <c r="A410" t="inlineStr">
        <is>
          <t>2016-09-08</t>
        </is>
      </c>
      <c r="B410" t="n">
        <v>22.4848</v>
      </c>
      <c r="C410" t="n">
        <v>28.0269</v>
      </c>
    </row>
    <row r="411">
      <c r="A411" t="inlineStr">
        <is>
          <t>2016-09-09</t>
        </is>
      </c>
      <c r="B411" t="n">
        <v>22.3249</v>
      </c>
      <c r="C411" t="n">
        <v>27.8386</v>
      </c>
    </row>
    <row r="412">
      <c r="A412" t="inlineStr">
        <is>
          <t>2016-09-12</t>
        </is>
      </c>
      <c r="B412" t="n">
        <v>21.8103</v>
      </c>
      <c r="C412" t="n">
        <v>27.1903</v>
      </c>
    </row>
    <row r="413">
      <c r="A413" t="inlineStr">
        <is>
          <t>2016-09-13</t>
        </is>
      </c>
      <c r="B413" t="n">
        <v>22.4327</v>
      </c>
      <c r="C413" t="n">
        <v>27.9682</v>
      </c>
    </row>
    <row r="414">
      <c r="A414" t="inlineStr">
        <is>
          <t>2016-09-14</t>
        </is>
      </c>
      <c r="B414" t="n">
        <v>22.5525</v>
      </c>
      <c r="C414" t="n">
        <v>28.1277</v>
      </c>
    </row>
    <row r="415">
      <c r="A415" t="inlineStr">
        <is>
          <t>2016-09-15</t>
        </is>
      </c>
      <c r="B415" t="n">
        <v>22.607</v>
      </c>
      <c r="C415" t="n">
        <v>28.1643</v>
      </c>
    </row>
    <row r="416">
      <c r="A416" t="inlineStr">
        <is>
          <t>2016-09-16</t>
        </is>
      </c>
      <c r="B416" t="n">
        <v>22.8718</v>
      </c>
      <c r="C416" t="n">
        <v>28.5137</v>
      </c>
    </row>
    <row r="417">
      <c r="A417" t="inlineStr">
        <is>
          <t>2016-09-19</t>
        </is>
      </c>
      <c r="B417" t="n">
        <v>22.9895</v>
      </c>
      <c r="C417" t="n">
        <v>28.7469</v>
      </c>
    </row>
    <row r="418">
      <c r="A418" t="inlineStr">
        <is>
          <t>2016-09-20</t>
        </is>
      </c>
      <c r="B418" t="n">
        <v>22.7291</v>
      </c>
      <c r="C418" t="n">
        <v>28.3604</v>
      </c>
    </row>
    <row r="419">
      <c r="A419" t="inlineStr">
        <is>
          <t>2016-09-21</t>
        </is>
      </c>
      <c r="B419" t="n">
        <v>22.9605</v>
      </c>
      <c r="C419" t="n">
        <v>28.6463</v>
      </c>
    </row>
    <row r="420">
      <c r="A420" t="inlineStr">
        <is>
          <t>2016-09-22</t>
        </is>
      </c>
      <c r="B420" t="n">
        <v>23.2525</v>
      </c>
      <c r="C420" t="n">
        <v>29.0313</v>
      </c>
    </row>
    <row r="421">
      <c r="A421" t="inlineStr">
        <is>
          <t>2016-09-23</t>
        </is>
      </c>
      <c r="B421" t="n">
        <v>23.061</v>
      </c>
      <c r="C421" t="n">
        <v>28.7492</v>
      </c>
    </row>
    <row r="422">
      <c r="A422" t="inlineStr">
        <is>
          <t>2016-09-26</t>
        </is>
      </c>
      <c r="B422" t="n">
        <v>22.9744</v>
      </c>
      <c r="C422" t="n">
        <v>28.6609</v>
      </c>
    </row>
    <row r="423">
      <c r="A423" t="inlineStr">
        <is>
          <t>2016-09-27</t>
        </is>
      </c>
      <c r="B423" t="n">
        <v>22.9625</v>
      </c>
      <c r="C423" t="n">
        <v>28.6228</v>
      </c>
    </row>
    <row r="424">
      <c r="A424" t="inlineStr">
        <is>
          <t>2016-09-28</t>
        </is>
      </c>
      <c r="B424" t="n">
        <v>22.8241</v>
      </c>
      <c r="C424" t="n">
        <v>28.4371</v>
      </c>
    </row>
    <row r="425">
      <c r="A425" t="inlineStr">
        <is>
          <t>2016-09-29</t>
        </is>
      </c>
      <c r="B425" t="n">
        <v>23.0206</v>
      </c>
      <c r="C425" t="n">
        <v>28.696</v>
      </c>
    </row>
    <row r="426">
      <c r="A426" t="inlineStr">
        <is>
          <t>2016-09-30</t>
        </is>
      </c>
      <c r="B426" t="n">
        <v>22.9045</v>
      </c>
      <c r="C426" t="n">
        <v>28.5307</v>
      </c>
    </row>
    <row r="427">
      <c r="A427" t="inlineStr">
        <is>
          <t>2016-10-03</t>
        </is>
      </c>
      <c r="B427" t="n">
        <v>23.0302</v>
      </c>
      <c r="C427" t="n">
        <v>28.7055</v>
      </c>
    </row>
    <row r="428">
      <c r="A428" t="inlineStr">
        <is>
          <t>2016-10-04</t>
        </is>
      </c>
      <c r="B428" t="n">
        <v>23.3497</v>
      </c>
      <c r="C428" t="n">
        <v>29.1108</v>
      </c>
    </row>
    <row r="429">
      <c r="A429" t="inlineStr">
        <is>
          <t>2016-10-05</t>
        </is>
      </c>
      <c r="B429" t="n">
        <v>23.3172</v>
      </c>
      <c r="C429" t="n">
        <v>29.077</v>
      </c>
    </row>
    <row r="430">
      <c r="A430" t="inlineStr">
        <is>
          <t>2016-10-06</t>
        </is>
      </c>
      <c r="B430" t="n">
        <v>23.3315</v>
      </c>
      <c r="C430" t="n">
        <v>29.1042</v>
      </c>
    </row>
    <row r="431">
      <c r="A431" t="inlineStr">
        <is>
          <t>2016-10-07</t>
        </is>
      </c>
      <c r="B431" t="n">
        <v>23.1725</v>
      </c>
      <c r="C431" t="n">
        <v>28.9122</v>
      </c>
    </row>
    <row r="432">
      <c r="A432" t="inlineStr">
        <is>
          <t>2016-10-10</t>
        </is>
      </c>
      <c r="B432" t="n">
        <v>22.49</v>
      </c>
      <c r="C432" t="n">
        <v>28.0324</v>
      </c>
    </row>
    <row r="433">
      <c r="A433" t="inlineStr">
        <is>
          <t>2016-10-11</t>
        </is>
      </c>
      <c r="B433" t="n">
        <v>22.2135</v>
      </c>
      <c r="C433" t="n">
        <v>27.712</v>
      </c>
    </row>
    <row r="434">
      <c r="A434" t="inlineStr">
        <is>
          <t>2016-10-12</t>
        </is>
      </c>
      <c r="B434" t="n">
        <v>21.7073</v>
      </c>
      <c r="C434" t="n">
        <v>27.0911</v>
      </c>
    </row>
    <row r="435">
      <c r="A435" t="inlineStr">
        <is>
          <t>2016-10-13</t>
        </is>
      </c>
      <c r="B435" t="n">
        <v>21.917</v>
      </c>
      <c r="C435" t="n">
        <v>27.4038</v>
      </c>
    </row>
    <row r="436">
      <c r="A436" t="inlineStr">
        <is>
          <t>2016-10-14</t>
        </is>
      </c>
      <c r="B436" t="n">
        <v>22.7822</v>
      </c>
      <c r="C436" t="n">
        <v>28.5063</v>
      </c>
    </row>
    <row r="437">
      <c r="A437" t="inlineStr">
        <is>
          <t>2016-10-17</t>
        </is>
      </c>
      <c r="B437" t="n">
        <v>22.6513</v>
      </c>
      <c r="C437" t="n">
        <v>28.3783</v>
      </c>
    </row>
    <row r="438">
      <c r="A438" t="inlineStr">
        <is>
          <t>2016-10-18</t>
        </is>
      </c>
      <c r="B438" t="n">
        <v>22.5844</v>
      </c>
      <c r="C438" t="n">
        <v>28.3124</v>
      </c>
    </row>
    <row r="439">
      <c r="A439" t="inlineStr">
        <is>
          <t>2016-10-19</t>
        </is>
      </c>
      <c r="B439" t="n">
        <v>22.6474</v>
      </c>
      <c r="C439" t="n">
        <v>28.386</v>
      </c>
    </row>
    <row r="440">
      <c r="A440" t="inlineStr">
        <is>
          <t>2016-10-20</t>
        </is>
      </c>
      <c r="B440" t="n">
        <v>22.7283</v>
      </c>
      <c r="C440" t="n">
        <v>28.5139</v>
      </c>
    </row>
    <row r="441">
      <c r="A441" t="inlineStr">
        <is>
          <t>2016-10-21</t>
        </is>
      </c>
      <c r="B441" t="n">
        <v>22.8034</v>
      </c>
      <c r="C441" t="n">
        <v>28.5892</v>
      </c>
    </row>
    <row r="442">
      <c r="A442" t="inlineStr">
        <is>
          <t>2016-10-25</t>
        </is>
      </c>
      <c r="B442" t="n">
        <v>22.8206</v>
      </c>
      <c r="C442" t="n">
        <v>28.6554</v>
      </c>
    </row>
    <row r="443">
      <c r="A443" t="inlineStr">
        <is>
          <t>2016-10-26</t>
        </is>
      </c>
      <c r="B443" t="n">
        <v>22.5993</v>
      </c>
      <c r="C443" t="n">
        <v>28.3319</v>
      </c>
    </row>
    <row r="444">
      <c r="A444" t="inlineStr">
        <is>
          <t>2016-10-27</t>
        </is>
      </c>
      <c r="B444" t="n">
        <v>22.6493</v>
      </c>
      <c r="C444" t="n">
        <v>28.418</v>
      </c>
    </row>
    <row r="445">
      <c r="A445" t="inlineStr">
        <is>
          <t>2016-10-28</t>
        </is>
      </c>
      <c r="B445" t="n">
        <v>22.5996</v>
      </c>
      <c r="C445" t="n">
        <v>28.3475</v>
      </c>
    </row>
    <row r="446">
      <c r="A446" t="inlineStr">
        <is>
          <t>2016-10-31</t>
        </is>
      </c>
      <c r="B446" t="n">
        <v>22.5471</v>
      </c>
      <c r="C446" t="n">
        <v>28.2856</v>
      </c>
    </row>
    <row r="447">
      <c r="A447" t="inlineStr">
        <is>
          <t>2016-11-01</t>
        </is>
      </c>
      <c r="B447" t="n">
        <v>22.6615</v>
      </c>
      <c r="C447" t="n">
        <v>28.455</v>
      </c>
    </row>
    <row r="448">
      <c r="A448" t="inlineStr">
        <is>
          <t>2016-11-02</t>
        </is>
      </c>
      <c r="B448" t="n">
        <v>22.5483</v>
      </c>
      <c r="C448" t="n">
        <v>28.3087</v>
      </c>
    </row>
    <row r="449">
      <c r="A449" t="inlineStr">
        <is>
          <t>2016-11-03</t>
        </is>
      </c>
      <c r="B449" t="n">
        <v>22.4211</v>
      </c>
      <c r="C449" t="n">
        <v>28.1485</v>
      </c>
    </row>
    <row r="450">
      <c r="A450" t="inlineStr">
        <is>
          <t>2016-11-04</t>
        </is>
      </c>
      <c r="B450" t="n">
        <v>22.2896</v>
      </c>
      <c r="C450" t="n">
        <v>27.972</v>
      </c>
    </row>
    <row r="451">
      <c r="A451" t="inlineStr">
        <is>
          <t>2016-11-07</t>
        </is>
      </c>
      <c r="B451" t="n">
        <v>22.5464</v>
      </c>
      <c r="C451" t="n">
        <v>28.3255</v>
      </c>
    </row>
    <row r="452">
      <c r="A452" t="inlineStr">
        <is>
          <t>2016-11-08</t>
        </is>
      </c>
      <c r="B452" t="n">
        <v>22.7334</v>
      </c>
      <c r="C452" t="n">
        <v>28.5343</v>
      </c>
    </row>
    <row r="453">
      <c r="A453" t="inlineStr">
        <is>
          <t>2016-11-09</t>
        </is>
      </c>
      <c r="B453" t="n">
        <v>22.6992</v>
      </c>
      <c r="C453" t="n">
        <v>28.4914</v>
      </c>
    </row>
    <row r="454">
      <c r="A454" t="inlineStr">
        <is>
          <t>2016-11-10</t>
        </is>
      </c>
      <c r="B454" t="n">
        <v>22.7604</v>
      </c>
      <c r="C454" t="n">
        <v>28.572</v>
      </c>
    </row>
    <row r="455">
      <c r="A455" t="inlineStr">
        <is>
          <t>2016-11-11</t>
        </is>
      </c>
      <c r="B455" t="n">
        <v>22.4592</v>
      </c>
      <c r="C455" t="n">
        <v>28.1827</v>
      </c>
    </row>
    <row r="456">
      <c r="A456" t="inlineStr">
        <is>
          <t>2016-11-14</t>
        </is>
      </c>
      <c r="B456" t="n">
        <v>22.0389</v>
      </c>
      <c r="C456" t="n">
        <v>27.6027</v>
      </c>
    </row>
    <row r="457">
      <c r="A457" t="inlineStr">
        <is>
          <t>2016-11-15</t>
        </is>
      </c>
      <c r="B457" t="n">
        <v>22.147</v>
      </c>
      <c r="C457" t="n">
        <v>27.7748</v>
      </c>
    </row>
    <row r="458">
      <c r="A458" t="inlineStr">
        <is>
          <t>2016-11-16</t>
        </is>
      </c>
      <c r="B458" t="n">
        <v>22.0942</v>
      </c>
      <c r="C458" t="n">
        <v>27.687</v>
      </c>
    </row>
    <row r="459">
      <c r="A459" t="inlineStr">
        <is>
          <t>2016-11-17</t>
        </is>
      </c>
      <c r="B459" t="n">
        <v>22.1144</v>
      </c>
      <c r="C459" t="n">
        <v>27.7109</v>
      </c>
    </row>
    <row r="460">
      <c r="A460" t="inlineStr">
        <is>
          <t>2016-11-18</t>
        </is>
      </c>
      <c r="B460" t="n">
        <v>22.0827</v>
      </c>
      <c r="C460" t="n">
        <v>27.6865</v>
      </c>
    </row>
    <row r="461">
      <c r="A461" t="inlineStr">
        <is>
          <t>2016-11-21</t>
        </is>
      </c>
      <c r="B461" t="n">
        <v>22.1675</v>
      </c>
      <c r="C461" t="n">
        <v>27.755</v>
      </c>
    </row>
    <row r="462">
      <c r="A462" t="inlineStr">
        <is>
          <t>2016-11-22</t>
        </is>
      </c>
      <c r="B462" t="n">
        <v>22.2882</v>
      </c>
      <c r="C462" t="n">
        <v>27.933</v>
      </c>
    </row>
    <row r="463">
      <c r="A463" t="inlineStr">
        <is>
          <t>2016-11-23</t>
        </is>
      </c>
      <c r="B463" t="n">
        <v>22.4581</v>
      </c>
      <c r="C463" t="n">
        <v>28.1619</v>
      </c>
    </row>
    <row r="464">
      <c r="A464" t="inlineStr">
        <is>
          <t>2016-11-24</t>
        </is>
      </c>
      <c r="B464" t="n">
        <v>22.3483</v>
      </c>
      <c r="C464" t="n">
        <v>28.0086</v>
      </c>
    </row>
    <row r="465">
      <c r="A465" t="inlineStr">
        <is>
          <t>2016-11-25</t>
        </is>
      </c>
      <c r="B465" t="n">
        <v>22.5209</v>
      </c>
      <c r="C465" t="n">
        <v>28.2312</v>
      </c>
    </row>
    <row r="466">
      <c r="A466" t="inlineStr">
        <is>
          <t>2016-11-28</t>
        </is>
      </c>
      <c r="B466" t="n">
        <v>22.5157</v>
      </c>
      <c r="C466" t="n">
        <v>28.2104</v>
      </c>
    </row>
    <row r="467">
      <c r="A467" t="inlineStr">
        <is>
          <t>2016-11-29</t>
        </is>
      </c>
      <c r="B467" t="n">
        <v>22.474</v>
      </c>
      <c r="C467" t="n">
        <v>28.1455</v>
      </c>
    </row>
    <row r="468">
      <c r="A468" t="inlineStr">
        <is>
          <t>2016-11-30</t>
        </is>
      </c>
      <c r="B468" t="n">
        <v>22.729</v>
      </c>
      <c r="C468" t="n">
        <v>28.4784</v>
      </c>
    </row>
    <row r="469">
      <c r="A469" t="inlineStr">
        <is>
          <t>2016-12-01</t>
        </is>
      </c>
      <c r="B469" t="n">
        <v>22.7921</v>
      </c>
      <c r="C469" t="n">
        <v>28.6409</v>
      </c>
    </row>
    <row r="470">
      <c r="A470" t="inlineStr">
        <is>
          <t>2016-12-02</t>
        </is>
      </c>
      <c r="B470" t="n">
        <v>22.6373</v>
      </c>
      <c r="C470" t="n">
        <v>28.4278</v>
      </c>
    </row>
    <row r="471">
      <c r="A471" t="inlineStr">
        <is>
          <t>2016-12-06</t>
        </is>
      </c>
      <c r="B471" t="n">
        <v>22.853</v>
      </c>
      <c r="C471" t="n">
        <v>28.7244</v>
      </c>
    </row>
    <row r="472">
      <c r="A472" t="inlineStr">
        <is>
          <t>2016-12-07</t>
        </is>
      </c>
      <c r="B472" t="n">
        <v>22.8936</v>
      </c>
      <c r="C472" t="n">
        <v>28.7715</v>
      </c>
    </row>
    <row r="473">
      <c r="A473" t="inlineStr">
        <is>
          <t>2016-12-08</t>
        </is>
      </c>
      <c r="B473" t="n">
        <v>22.9769</v>
      </c>
      <c r="C473" t="n">
        <v>28.8593</v>
      </c>
    </row>
    <row r="474">
      <c r="A474" t="inlineStr">
        <is>
          <t>2016-12-09</t>
        </is>
      </c>
      <c r="B474" t="n">
        <v>22.9981</v>
      </c>
      <c r="C474" t="n">
        <v>28.8806</v>
      </c>
    </row>
    <row r="475">
      <c r="A475" t="inlineStr">
        <is>
          <t>2016-12-13</t>
        </is>
      </c>
      <c r="B475" t="n">
        <v>23.0315</v>
      </c>
      <c r="C475" t="n">
        <v>28.9505</v>
      </c>
    </row>
    <row r="476">
      <c r="A476" t="inlineStr">
        <is>
          <t>2016-12-14</t>
        </is>
      </c>
      <c r="B476" t="n">
        <v>22.8681</v>
      </c>
      <c r="C476" t="n">
        <v>28.7475</v>
      </c>
    </row>
    <row r="477">
      <c r="A477" t="inlineStr">
        <is>
          <t>2016-12-15</t>
        </is>
      </c>
      <c r="B477" t="n">
        <v>22.8028</v>
      </c>
      <c r="C477" t="n">
        <v>28.653</v>
      </c>
    </row>
    <row r="478">
      <c r="A478" t="inlineStr">
        <is>
          <t>2016-12-16</t>
        </is>
      </c>
      <c r="B478" t="n">
        <v>22.7943</v>
      </c>
      <c r="C478" t="n">
        <v>28.642</v>
      </c>
    </row>
    <row r="479">
      <c r="A479" t="inlineStr">
        <is>
          <t>2016-12-19</t>
        </is>
      </c>
      <c r="B479" t="n">
        <v>22.827</v>
      </c>
      <c r="C479" t="n">
        <v>28.6869</v>
      </c>
    </row>
    <row r="480">
      <c r="A480" t="inlineStr">
        <is>
          <t>2016-12-20</t>
        </is>
      </c>
      <c r="B480" t="n">
        <v>22.725</v>
      </c>
      <c r="C480" t="n">
        <v>28.5692</v>
      </c>
    </row>
    <row r="481">
      <c r="A481" t="inlineStr">
        <is>
          <t>2016-12-21</t>
        </is>
      </c>
      <c r="B481" t="n">
        <v>22.6419</v>
      </c>
      <c r="C481" t="n">
        <v>28.4522</v>
      </c>
    </row>
    <row r="482">
      <c r="A482" t="inlineStr">
        <is>
          <t>2016-12-22</t>
        </is>
      </c>
      <c r="B482" t="n">
        <v>22.6133</v>
      </c>
      <c r="C482" t="n">
        <v>28.4027</v>
      </c>
    </row>
    <row r="483">
      <c r="A483" t="inlineStr">
        <is>
          <t>2016-12-23</t>
        </is>
      </c>
      <c r="B483" t="n">
        <v>22.6771</v>
      </c>
      <c r="C483" t="n">
        <v>28.4706</v>
      </c>
    </row>
    <row r="484">
      <c r="A484" t="inlineStr">
        <is>
          <t>2016-12-26</t>
        </is>
      </c>
      <c r="B484" t="n">
        <v>22.7986</v>
      </c>
      <c r="C484" t="n">
        <v>28.6045</v>
      </c>
    </row>
    <row r="485">
      <c r="A485" t="inlineStr">
        <is>
          <t>2016-12-27</t>
        </is>
      </c>
      <c r="B485" t="n">
        <v>22.8049</v>
      </c>
      <c r="C485" t="n">
        <v>28.6162</v>
      </c>
    </row>
    <row r="486">
      <c r="A486" t="inlineStr">
        <is>
          <t>2016-12-28</t>
        </is>
      </c>
      <c r="B486" t="n">
        <v>22.9408</v>
      </c>
      <c r="C486" t="n">
        <v>28.7845</v>
      </c>
    </row>
    <row r="487">
      <c r="A487" t="inlineStr">
        <is>
          <t>2016-12-29</t>
        </is>
      </c>
      <c r="B487" t="n">
        <v>23.1832</v>
      </c>
    </row>
    <row r="488">
      <c r="A488" t="inlineStr">
        <is>
          <t>2016-12-30</t>
        </is>
      </c>
      <c r="B488" t="n">
        <v>23.2609</v>
      </c>
    </row>
    <row r="489">
      <c r="A489" t="inlineStr">
        <is>
          <t>2017-01-04</t>
        </is>
      </c>
      <c r="B489" t="n">
        <v>23.6133</v>
      </c>
      <c r="C489" t="n">
        <v>29.6635</v>
      </c>
    </row>
    <row r="490">
      <c r="A490" t="inlineStr">
        <is>
          <t>2017-01-05</t>
        </is>
      </c>
      <c r="B490" t="n">
        <v>23.7212</v>
      </c>
      <c r="C490" t="n">
        <v>29.8011</v>
      </c>
    </row>
    <row r="491">
      <c r="A491" t="inlineStr">
        <is>
          <t>2017-01-06</t>
        </is>
      </c>
      <c r="B491" t="n">
        <v>23.6659</v>
      </c>
      <c r="C491" t="n">
        <v>29.7519</v>
      </c>
    </row>
    <row r="492">
      <c r="A492" t="inlineStr">
        <is>
          <t>2017-01-09</t>
        </is>
      </c>
      <c r="B492" t="n">
        <v>23.5492</v>
      </c>
      <c r="C492" t="n">
        <v>29.5898</v>
      </c>
    </row>
    <row r="493">
      <c r="A493" t="inlineStr">
        <is>
          <t>2017-01-10</t>
        </is>
      </c>
      <c r="B493" t="n">
        <v>23.668</v>
      </c>
      <c r="C493" t="n">
        <v>29.7443</v>
      </c>
    </row>
    <row r="494">
      <c r="A494" t="inlineStr">
        <is>
          <t>2017-01-11</t>
        </is>
      </c>
      <c r="B494" t="n">
        <v>23.6209</v>
      </c>
      <c r="C494" t="n">
        <v>29.6887</v>
      </c>
    </row>
    <row r="495">
      <c r="A495" t="inlineStr">
        <is>
          <t>2017-01-12</t>
        </is>
      </c>
      <c r="B495" t="n">
        <v>23.5702</v>
      </c>
      <c r="C495" t="n">
        <v>29.6096</v>
      </c>
    </row>
    <row r="496">
      <c r="A496" t="inlineStr">
        <is>
          <t>2017-01-13</t>
        </is>
      </c>
      <c r="B496" t="n">
        <v>23.6601</v>
      </c>
      <c r="C496" t="n">
        <v>29.7277</v>
      </c>
    </row>
    <row r="497">
      <c r="A497" t="inlineStr">
        <is>
          <t>2017-01-16</t>
        </is>
      </c>
      <c r="B497" t="n">
        <v>23.5687</v>
      </c>
    </row>
    <row r="498">
      <c r="A498" t="inlineStr">
        <is>
          <t>2017-01-17</t>
        </is>
      </c>
      <c r="B498" t="n">
        <v>23.5124</v>
      </c>
    </row>
    <row r="499">
      <c r="A499" t="inlineStr">
        <is>
          <t>2017-01-18</t>
        </is>
      </c>
      <c r="B499" t="n">
        <v>23.408</v>
      </c>
    </row>
    <row r="500">
      <c r="A500" t="inlineStr">
        <is>
          <t>2017-01-19</t>
        </is>
      </c>
      <c r="B500" t="n">
        <v>23.3371</v>
      </c>
      <c r="C500" t="n">
        <v>29.3094</v>
      </c>
    </row>
    <row r="501">
      <c r="A501" t="inlineStr">
        <is>
          <t>2017-01-20</t>
        </is>
      </c>
      <c r="B501" t="n">
        <v>23.388</v>
      </c>
      <c r="C501" t="n">
        <v>29.4141</v>
      </c>
    </row>
    <row r="502">
      <c r="A502" t="inlineStr">
        <is>
          <t>2017-01-23</t>
        </is>
      </c>
      <c r="B502" t="n">
        <v>23.4659</v>
      </c>
      <c r="C502" t="n">
        <v>29.5117</v>
      </c>
    </row>
    <row r="503">
      <c r="A503" t="inlineStr">
        <is>
          <t>2017-01-24</t>
        </is>
      </c>
      <c r="B503" t="n">
        <v>23.6528</v>
      </c>
      <c r="C503" t="n">
        <v>29.7574</v>
      </c>
    </row>
    <row r="504">
      <c r="A504" t="inlineStr">
        <is>
          <t>2017-01-25</t>
        </is>
      </c>
      <c r="B504" t="n">
        <v>23.8517</v>
      </c>
      <c r="C504" t="n">
        <v>29.9456</v>
      </c>
    </row>
    <row r="505">
      <c r="A505" t="inlineStr">
        <is>
          <t>2017-01-26</t>
        </is>
      </c>
      <c r="B505" t="n">
        <v>24.0522</v>
      </c>
      <c r="C505" t="n">
        <v>30.1838</v>
      </c>
    </row>
    <row r="506">
      <c r="A506" t="inlineStr">
        <is>
          <t>2017-01-27</t>
        </is>
      </c>
      <c r="B506" t="n">
        <v>24.009</v>
      </c>
      <c r="C506" t="n">
        <v>30.1131</v>
      </c>
    </row>
    <row r="507">
      <c r="A507" t="inlineStr">
        <is>
          <t>2017-01-30</t>
        </is>
      </c>
      <c r="B507" t="n">
        <v>23.9498</v>
      </c>
      <c r="C507" t="n">
        <v>30.0713</v>
      </c>
    </row>
    <row r="508">
      <c r="A508" t="inlineStr">
        <is>
          <t>2017-01-31</t>
        </is>
      </c>
      <c r="B508" t="n">
        <v>23.7168</v>
      </c>
      <c r="C508" t="n">
        <v>29.7538</v>
      </c>
    </row>
    <row r="509">
      <c r="A509" t="inlineStr">
        <is>
          <t>2017-02-01</t>
        </is>
      </c>
      <c r="B509" t="n">
        <v>23.7238</v>
      </c>
      <c r="C509" t="n">
        <v>29.7685</v>
      </c>
    </row>
    <row r="510">
      <c r="A510" t="inlineStr">
        <is>
          <t>2017-02-02</t>
        </is>
      </c>
      <c r="B510" t="n">
        <v>23.6746</v>
      </c>
      <c r="C510" t="n">
        <v>29.6993</v>
      </c>
    </row>
    <row r="511">
      <c r="A511" t="inlineStr">
        <is>
          <t>2017-02-03</t>
        </is>
      </c>
      <c r="B511" t="n">
        <v>23.8455</v>
      </c>
      <c r="C511" t="n">
        <v>29.956</v>
      </c>
    </row>
    <row r="512">
      <c r="A512" t="inlineStr">
        <is>
          <t>2017-02-06</t>
        </is>
      </c>
      <c r="B512" t="n">
        <v>23.962</v>
      </c>
    </row>
    <row r="513">
      <c r="A513" t="inlineStr">
        <is>
          <t>2017-02-07</t>
        </is>
      </c>
      <c r="B513" t="n">
        <v>23.8928</v>
      </c>
      <c r="C513" t="n">
        <v>29.994</v>
      </c>
    </row>
    <row r="514">
      <c r="A514" t="inlineStr">
        <is>
          <t>2017-02-08</t>
        </is>
      </c>
      <c r="B514" t="n">
        <v>24.0185</v>
      </c>
    </row>
    <row r="515">
      <c r="A515" t="inlineStr">
        <is>
          <t>2017-02-09</t>
        </is>
      </c>
      <c r="B515" t="n">
        <v>23.9033</v>
      </c>
      <c r="C515" t="n">
        <v>29.9641</v>
      </c>
    </row>
    <row r="516">
      <c r="A516" t="inlineStr">
        <is>
          <t>2017-02-10</t>
        </is>
      </c>
      <c r="B516" t="n">
        <v>23.9317</v>
      </c>
    </row>
    <row r="517">
      <c r="A517" t="inlineStr">
        <is>
          <t>2017-02-14</t>
        </is>
      </c>
      <c r="B517" t="n">
        <v>23.6789</v>
      </c>
    </row>
    <row r="518">
      <c r="A518" t="inlineStr">
        <is>
          <t>2017-02-15</t>
        </is>
      </c>
      <c r="B518" t="n">
        <v>23.74</v>
      </c>
      <c r="C518" t="n">
        <v>29.789</v>
      </c>
    </row>
    <row r="519">
      <c r="A519" t="inlineStr">
        <is>
          <t>2017-02-16</t>
        </is>
      </c>
      <c r="B519" t="n">
        <v>23.7777</v>
      </c>
      <c r="C519" t="n">
        <v>29.8621</v>
      </c>
    </row>
    <row r="520">
      <c r="A520" t="inlineStr">
        <is>
          <t>2017-02-17</t>
        </is>
      </c>
      <c r="B520" t="n">
        <v>23.8455</v>
      </c>
    </row>
    <row r="521">
      <c r="A521" t="inlineStr">
        <is>
          <t>2017-02-20</t>
        </is>
      </c>
      <c r="B521" t="n">
        <v>23.8516</v>
      </c>
      <c r="C521" t="n">
        <v>29.9419</v>
      </c>
    </row>
    <row r="522">
      <c r="A522" t="inlineStr">
        <is>
          <t>2017-02-21</t>
        </is>
      </c>
      <c r="B522" t="n">
        <v>23.6521</v>
      </c>
      <c r="C522" t="n">
        <v>29.681</v>
      </c>
    </row>
    <row r="523">
      <c r="A523" t="inlineStr">
        <is>
          <t>2017-02-22</t>
        </is>
      </c>
      <c r="B523" t="n">
        <v>23.8072</v>
      </c>
      <c r="C523" t="n">
        <v>29.8645</v>
      </c>
    </row>
    <row r="524">
      <c r="A524" t="inlineStr">
        <is>
          <t>2017-02-23</t>
        </is>
      </c>
      <c r="B524" t="n">
        <v>23.7187</v>
      </c>
      <c r="C524" t="n">
        <v>29.7325</v>
      </c>
    </row>
    <row r="525">
      <c r="A525" t="inlineStr">
        <is>
          <t>2017-02-24</t>
        </is>
      </c>
      <c r="B525" t="n">
        <v>23.708</v>
      </c>
      <c r="C525" t="n">
        <v>29.7098</v>
      </c>
    </row>
    <row r="526">
      <c r="A526" t="inlineStr">
        <is>
          <t>2017-02-27</t>
        </is>
      </c>
      <c r="B526" t="n">
        <v>23.5898</v>
      </c>
    </row>
    <row r="527">
      <c r="A527" t="inlineStr">
        <is>
          <t>2017-02-28</t>
        </is>
      </c>
      <c r="B527" t="n">
        <v>23.6148</v>
      </c>
      <c r="C527" t="n">
        <v>29.6496</v>
      </c>
    </row>
    <row r="528">
      <c r="A528" t="inlineStr">
        <is>
          <t>2017-03-01</t>
        </is>
      </c>
      <c r="B528" t="n">
        <v>23.8311</v>
      </c>
      <c r="C528" t="n">
        <v>29.879</v>
      </c>
    </row>
    <row r="529">
      <c r="A529" t="inlineStr">
        <is>
          <t>2017-03-02</t>
        </is>
      </c>
      <c r="B529" t="n">
        <v>23.8526</v>
      </c>
      <c r="C529" t="n">
        <v>29.9078</v>
      </c>
    </row>
    <row r="530">
      <c r="A530" t="inlineStr">
        <is>
          <t>2017-03-03</t>
        </is>
      </c>
      <c r="B530" t="n">
        <v>23.8145</v>
      </c>
      <c r="C530" t="n">
        <v>29.8315</v>
      </c>
    </row>
    <row r="531">
      <c r="A531" t="inlineStr">
        <is>
          <t>2017-03-06</t>
        </is>
      </c>
      <c r="B531" t="n">
        <v>23.6347</v>
      </c>
    </row>
    <row r="532">
      <c r="A532" t="inlineStr">
        <is>
          <t>2017-03-07</t>
        </is>
      </c>
      <c r="B532" t="n">
        <v>23.6302</v>
      </c>
      <c r="C532" t="n">
        <v>29.5747</v>
      </c>
    </row>
    <row r="533">
      <c r="A533" t="inlineStr">
        <is>
          <t>2017-03-08</t>
        </is>
      </c>
      <c r="B533" t="n">
        <v>23.7628</v>
      </c>
      <c r="C533" t="n">
        <v>29.7431</v>
      </c>
    </row>
    <row r="534">
      <c r="A534" t="inlineStr">
        <is>
          <t>2017-03-09</t>
        </is>
      </c>
      <c r="B534" t="n">
        <v>23.7177</v>
      </c>
      <c r="C534" t="n">
        <v>29.6637</v>
      </c>
    </row>
    <row r="535">
      <c r="A535" t="inlineStr">
        <is>
          <t>2017-03-10</t>
        </is>
      </c>
      <c r="B535" t="n">
        <v>23.6222</v>
      </c>
      <c r="C535" t="n">
        <v>29.5356</v>
      </c>
    </row>
    <row r="536">
      <c r="A536" t="inlineStr">
        <is>
          <t>2017-03-13</t>
        </is>
      </c>
      <c r="B536" t="n">
        <v>23.7177</v>
      </c>
      <c r="C536" t="n">
        <v>29.622</v>
      </c>
    </row>
    <row r="537">
      <c r="A537" t="inlineStr">
        <is>
          <t>2017-03-14</t>
        </is>
      </c>
      <c r="B537" t="n">
        <v>23.7367</v>
      </c>
      <c r="C537" t="n">
        <v>29.6776</v>
      </c>
    </row>
    <row r="538">
      <c r="A538" t="inlineStr">
        <is>
          <t>2017-03-15</t>
        </is>
      </c>
      <c r="B538" t="n">
        <v>23.6962</v>
      </c>
      <c r="C538" t="n">
        <v>29.6308</v>
      </c>
    </row>
    <row r="539">
      <c r="A539" t="inlineStr">
        <is>
          <t>2017-03-16</t>
        </is>
      </c>
      <c r="B539" t="n">
        <v>23.9619</v>
      </c>
      <c r="C539" t="n">
        <v>29.9625</v>
      </c>
    </row>
    <row r="540">
      <c r="A540" t="inlineStr">
        <is>
          <t>2017-03-17</t>
        </is>
      </c>
      <c r="B540" t="n">
        <v>24.0081</v>
      </c>
      <c r="C540" t="n">
        <v>30.0148</v>
      </c>
    </row>
    <row r="541">
      <c r="A541" t="inlineStr">
        <is>
          <t>2017-03-20</t>
        </is>
      </c>
      <c r="B541" t="n">
        <v>24.0312</v>
      </c>
      <c r="C541" t="n">
        <v>30.0463</v>
      </c>
    </row>
    <row r="542">
      <c r="A542" t="inlineStr">
        <is>
          <t>2017-03-21</t>
        </is>
      </c>
      <c r="B542" t="n">
        <v>24.1311</v>
      </c>
      <c r="C542" t="n">
        <v>30.1789</v>
      </c>
    </row>
    <row r="543">
      <c r="A543" t="inlineStr">
        <is>
          <t>2017-03-22</t>
        </is>
      </c>
      <c r="B543" t="n">
        <v>24.0968</v>
      </c>
      <c r="C543" t="n">
        <v>30.1218</v>
      </c>
    </row>
    <row r="544">
      <c r="A544" t="inlineStr">
        <is>
          <t>2017-03-23</t>
        </is>
      </c>
      <c r="B544" t="n">
        <v>24.1305</v>
      </c>
      <c r="C544" t="n">
        <v>30.1571</v>
      </c>
    </row>
    <row r="545">
      <c r="A545" t="inlineStr">
        <is>
          <t>2017-03-24</t>
        </is>
      </c>
      <c r="B545" t="n">
        <v>24.2266</v>
      </c>
      <c r="C545" t="n">
        <v>30.3085</v>
      </c>
    </row>
    <row r="546">
      <c r="A546" t="inlineStr">
        <is>
          <t>2017-03-27</t>
        </is>
      </c>
      <c r="B546" t="n">
        <v>24.1597</v>
      </c>
      <c r="C546" t="n">
        <v>30.2221</v>
      </c>
    </row>
    <row r="547">
      <c r="A547" t="inlineStr">
        <is>
          <t>2017-03-28</t>
        </is>
      </c>
      <c r="B547" t="n">
        <v>24.28</v>
      </c>
      <c r="C547" t="n">
        <v>30.371</v>
      </c>
    </row>
    <row r="548">
      <c r="A548" t="inlineStr">
        <is>
          <t>2017-03-29</t>
        </is>
      </c>
      <c r="B548" t="n">
        <v>24.2886</v>
      </c>
      <c r="C548" t="n">
        <v>30.3737</v>
      </c>
    </row>
    <row r="549">
      <c r="A549" t="inlineStr">
        <is>
          <t>2017-03-30</t>
        </is>
      </c>
      <c r="B549" t="n">
        <v>24.3818</v>
      </c>
      <c r="C549" t="n">
        <v>30.4902</v>
      </c>
    </row>
    <row r="550">
      <c r="A550" t="inlineStr">
        <is>
          <t>2017-03-31</t>
        </is>
      </c>
      <c r="B550" t="n">
        <v>24.2658</v>
      </c>
      <c r="C550" t="n">
        <v>30.3365</v>
      </c>
    </row>
    <row r="551">
      <c r="A551" t="inlineStr">
        <is>
          <t>2017-04-03</t>
        </is>
      </c>
      <c r="B551" t="n">
        <v>24.3447</v>
      </c>
      <c r="C551" t="n">
        <v>30.4235</v>
      </c>
    </row>
    <row r="552">
      <c r="A552" t="inlineStr">
        <is>
          <t>2017-04-04</t>
        </is>
      </c>
      <c r="B552" t="n">
        <v>24.4212</v>
      </c>
      <c r="C552" t="n">
        <v>30.5088</v>
      </c>
    </row>
    <row r="553">
      <c r="A553" t="inlineStr">
        <is>
          <t>2017-04-05</t>
        </is>
      </c>
      <c r="B553" t="n">
        <v>24.4438</v>
      </c>
      <c r="C553" t="n">
        <v>30.5213</v>
      </c>
    </row>
    <row r="554">
      <c r="A554" t="inlineStr">
        <is>
          <t>2017-04-07</t>
        </is>
      </c>
      <c r="B554" t="n">
        <v>24.5526</v>
      </c>
      <c r="C554" t="n">
        <v>30.6556</v>
      </c>
    </row>
    <row r="555">
      <c r="A555" t="inlineStr">
        <is>
          <t>2017-04-10</t>
        </is>
      </c>
      <c r="B555" t="n">
        <v>24.536</v>
      </c>
      <c r="C555" t="n">
        <v>30.64</v>
      </c>
    </row>
    <row r="556">
      <c r="A556" t="inlineStr">
        <is>
          <t>2017-04-11</t>
        </is>
      </c>
      <c r="B556" t="n">
        <v>24.5469</v>
      </c>
      <c r="C556" t="n">
        <v>30.661</v>
      </c>
    </row>
    <row r="557">
      <c r="A557" t="inlineStr">
        <is>
          <t>2017-04-12</t>
        </is>
      </c>
      <c r="B557" t="n">
        <v>24.6975</v>
      </c>
      <c r="C557" t="n">
        <v>30.8458</v>
      </c>
    </row>
    <row r="558">
      <c r="A558" t="inlineStr">
        <is>
          <t>2017-04-17</t>
        </is>
      </c>
      <c r="B558" t="n">
        <v>24.4776</v>
      </c>
      <c r="C558" t="n">
        <v>30.5824</v>
      </c>
    </row>
    <row r="559">
      <c r="A559" t="inlineStr">
        <is>
          <t>2017-04-18</t>
        </is>
      </c>
      <c r="B559" t="n">
        <v>24.4483</v>
      </c>
      <c r="C559" t="n">
        <v>30.5195</v>
      </c>
    </row>
    <row r="560">
      <c r="A560" t="inlineStr">
        <is>
          <t>2017-04-19</t>
        </is>
      </c>
      <c r="B560" t="n">
        <v>24.3583</v>
      </c>
      <c r="C560" t="n">
        <v>30.3786</v>
      </c>
    </row>
    <row r="561">
      <c r="A561" t="inlineStr">
        <is>
          <t>2017-04-20</t>
        </is>
      </c>
      <c r="B561" t="n">
        <v>24.3941</v>
      </c>
      <c r="C561" t="n">
        <v>30.4334</v>
      </c>
    </row>
    <row r="562">
      <c r="A562" t="inlineStr">
        <is>
          <t>2017-04-21</t>
        </is>
      </c>
      <c r="B562" t="n">
        <v>24.4325</v>
      </c>
      <c r="C562" t="n">
        <v>30.4918</v>
      </c>
    </row>
    <row r="563">
      <c r="A563" t="inlineStr">
        <is>
          <t>2017-04-24</t>
        </is>
      </c>
      <c r="B563" t="n">
        <v>24.3833</v>
      </c>
      <c r="C563" t="n">
        <v>30.4322</v>
      </c>
    </row>
    <row r="564">
      <c r="A564" t="inlineStr">
        <is>
          <t>2017-04-25</t>
        </is>
      </c>
      <c r="B564" t="n">
        <v>24.4081</v>
      </c>
      <c r="C564" t="n">
        <v>30.4584</v>
      </c>
    </row>
    <row r="565">
      <c r="A565" t="inlineStr">
        <is>
          <t>2017-04-26</t>
        </is>
      </c>
      <c r="B565" t="n">
        <v>24.4961</v>
      </c>
      <c r="C565" t="n">
        <v>30.5645</v>
      </c>
    </row>
    <row r="566">
      <c r="A566" t="inlineStr">
        <is>
          <t>2017-04-27</t>
        </is>
      </c>
      <c r="B566" t="n">
        <v>24.4781</v>
      </c>
      <c r="C566" t="n">
        <v>30.5388</v>
      </c>
    </row>
    <row r="567">
      <c r="A567" t="inlineStr">
        <is>
          <t>2017-04-28</t>
        </is>
      </c>
      <c r="B567" t="n">
        <v>24.4398</v>
      </c>
      <c r="C567" t="n">
        <v>30.5124</v>
      </c>
    </row>
    <row r="568">
      <c r="A568" t="inlineStr">
        <is>
          <t>2017-05-02</t>
        </is>
      </c>
      <c r="B568" t="n">
        <v>24.4419</v>
      </c>
      <c r="C568" t="n">
        <v>30.4944</v>
      </c>
    </row>
    <row r="569">
      <c r="A569" t="inlineStr">
        <is>
          <t>2017-05-03</t>
        </is>
      </c>
      <c r="B569" t="n">
        <v>24.4607</v>
      </c>
      <c r="C569" t="n">
        <v>30.5166</v>
      </c>
    </row>
    <row r="570">
      <c r="A570" t="inlineStr">
        <is>
          <t>2017-05-04</t>
        </is>
      </c>
      <c r="B570" t="n">
        <v>24.5875</v>
      </c>
      <c r="C570" t="n">
        <v>30.6966</v>
      </c>
    </row>
    <row r="571">
      <c r="A571" t="inlineStr">
        <is>
          <t>2017-05-05</t>
        </is>
      </c>
      <c r="B571" t="n">
        <v>24.5769</v>
      </c>
      <c r="C571" t="n">
        <v>30.6616</v>
      </c>
    </row>
    <row r="572">
      <c r="A572" t="inlineStr">
        <is>
          <t>2017-05-08</t>
        </is>
      </c>
      <c r="B572" t="n">
        <v>24.5918</v>
      </c>
      <c r="C572" t="n">
        <v>30.6856</v>
      </c>
    </row>
    <row r="573">
      <c r="A573" t="inlineStr">
        <is>
          <t>2017-05-09</t>
        </is>
      </c>
      <c r="B573" t="n">
        <v>24.5427</v>
      </c>
      <c r="C573" t="n">
        <v>30.5911</v>
      </c>
    </row>
    <row r="574">
      <c r="A574" t="inlineStr">
        <is>
          <t>2017-05-11</t>
        </is>
      </c>
      <c r="B574" t="n">
        <v>24.429</v>
      </c>
      <c r="C574" t="n">
        <v>30.4669</v>
      </c>
    </row>
    <row r="575">
      <c r="A575" t="inlineStr">
        <is>
          <t>2017-05-12</t>
        </is>
      </c>
      <c r="B575" t="n">
        <v>24.2766</v>
      </c>
      <c r="C575" t="n">
        <v>30.2834</v>
      </c>
    </row>
    <row r="576">
      <c r="A576" t="inlineStr">
        <is>
          <t>2017-05-15</t>
        </is>
      </c>
      <c r="B576" t="n">
        <v>23.2876</v>
      </c>
      <c r="C576" t="n">
        <v>30.2027</v>
      </c>
    </row>
    <row r="577">
      <c r="A577" t="inlineStr">
        <is>
          <t>2017-05-16</t>
        </is>
      </c>
      <c r="B577" t="n">
        <v>23.3831</v>
      </c>
      <c r="C577" t="n">
        <v>30.3203</v>
      </c>
    </row>
    <row r="578">
      <c r="A578" t="inlineStr">
        <is>
          <t>2017-05-17</t>
        </is>
      </c>
      <c r="B578" t="n">
        <v>23.3624</v>
      </c>
      <c r="C578" t="n">
        <v>30.299</v>
      </c>
    </row>
    <row r="579">
      <c r="A579" t="inlineStr">
        <is>
          <t>2017-05-18</t>
        </is>
      </c>
      <c r="B579" t="n">
        <v>23.2815</v>
      </c>
      <c r="C579" t="n">
        <v>30.203</v>
      </c>
    </row>
    <row r="580">
      <c r="A580" t="inlineStr">
        <is>
          <t>2017-05-19</t>
        </is>
      </c>
      <c r="B580" t="n">
        <v>23.3194</v>
      </c>
      <c r="C580" t="n">
        <v>30.2457</v>
      </c>
    </row>
    <row r="581">
      <c r="A581" t="inlineStr">
        <is>
          <t>2017-05-22</t>
        </is>
      </c>
      <c r="B581" t="n">
        <v>23.4274</v>
      </c>
      <c r="C581" t="n">
        <v>30.4006</v>
      </c>
    </row>
    <row r="582">
      <c r="A582" t="inlineStr">
        <is>
          <t>2017-05-23</t>
        </is>
      </c>
      <c r="B582" t="n">
        <v>23.5158</v>
      </c>
      <c r="C582" t="n">
        <v>30.5006</v>
      </c>
    </row>
    <row r="583">
      <c r="A583" t="inlineStr">
        <is>
          <t>2017-05-24</t>
        </is>
      </c>
      <c r="B583" t="n">
        <v>23.5357</v>
      </c>
      <c r="C583" t="n">
        <v>30.5339</v>
      </c>
    </row>
    <row r="584">
      <c r="A584" t="inlineStr">
        <is>
          <t>2017-05-25</t>
        </is>
      </c>
      <c r="B584" t="n">
        <v>23.5659</v>
      </c>
      <c r="C584" t="n">
        <v>30.5585</v>
      </c>
    </row>
    <row r="585">
      <c r="A585" t="inlineStr">
        <is>
          <t>2017-05-26</t>
        </is>
      </c>
      <c r="B585" t="n">
        <v>23.5528</v>
      </c>
      <c r="C585" t="n">
        <v>30.5442</v>
      </c>
    </row>
    <row r="586">
      <c r="A586" t="inlineStr">
        <is>
          <t>2017-05-29</t>
        </is>
      </c>
      <c r="B586" t="n">
        <v>23.5442</v>
      </c>
      <c r="C586" t="n">
        <v>30.5397</v>
      </c>
    </row>
    <row r="587">
      <c r="A587" t="inlineStr">
        <is>
          <t>2017-05-30</t>
        </is>
      </c>
      <c r="B587" t="n">
        <v>23.5195</v>
      </c>
      <c r="C587" t="n">
        <v>30.5275</v>
      </c>
    </row>
    <row r="588">
      <c r="A588" t="inlineStr">
        <is>
          <t>2017-05-31</t>
        </is>
      </c>
      <c r="B588" t="n">
        <v>23.3928</v>
      </c>
      <c r="C588" t="n">
        <v>30.3613</v>
      </c>
    </row>
    <row r="589">
      <c r="A589" t="inlineStr">
        <is>
          <t>2017-06-01</t>
        </is>
      </c>
      <c r="B589" t="n">
        <v>23.4286</v>
      </c>
      <c r="C589" t="n">
        <v>30.4135</v>
      </c>
    </row>
    <row r="590">
      <c r="A590" t="inlineStr">
        <is>
          <t>2017-06-02</t>
        </is>
      </c>
      <c r="B590" t="n">
        <v>23.4554</v>
      </c>
      <c r="C590" t="n">
        <v>30.4878</v>
      </c>
    </row>
    <row r="591">
      <c r="A591" t="inlineStr">
        <is>
          <t>2017-06-05</t>
        </is>
      </c>
      <c r="B591" t="n">
        <v>23.402</v>
      </c>
      <c r="C591" t="n">
        <v>30.429</v>
      </c>
    </row>
    <row r="592">
      <c r="A592" t="inlineStr">
        <is>
          <t>2017-06-06</t>
        </is>
      </c>
      <c r="B592" t="n">
        <v>23.4446</v>
      </c>
      <c r="C592" t="n">
        <v>30.4799</v>
      </c>
    </row>
    <row r="593">
      <c r="A593" t="inlineStr">
        <is>
          <t>2017-06-07</t>
        </is>
      </c>
      <c r="B593" t="n">
        <v>23.3579</v>
      </c>
      <c r="C593" t="n">
        <v>30.4151</v>
      </c>
    </row>
    <row r="594">
      <c r="A594" t="inlineStr">
        <is>
          <t>2017-06-08</t>
        </is>
      </c>
      <c r="B594" t="n">
        <v>23.4121</v>
      </c>
      <c r="C594" t="n">
        <v>30.5005</v>
      </c>
    </row>
    <row r="595">
      <c r="A595" t="inlineStr">
        <is>
          <t>2017-06-09</t>
        </is>
      </c>
      <c r="B595" t="n">
        <v>23.3412</v>
      </c>
      <c r="C595" t="n">
        <v>30.4016</v>
      </c>
    </row>
    <row r="596">
      <c r="A596" t="inlineStr">
        <is>
          <t>2017-06-12</t>
        </is>
      </c>
      <c r="B596" t="n">
        <v>23.2784</v>
      </c>
    </row>
    <row r="597">
      <c r="A597" t="inlineStr">
        <is>
          <t>2017-06-13</t>
        </is>
      </c>
      <c r="B597" t="n">
        <v>23.4329</v>
      </c>
      <c r="C597" t="n">
        <v>30.5135</v>
      </c>
    </row>
    <row r="598">
      <c r="A598" t="inlineStr">
        <is>
          <t>2017-06-14</t>
        </is>
      </c>
      <c r="B598" t="n">
        <v>23.4771</v>
      </c>
      <c r="C598" t="n">
        <v>30.5712</v>
      </c>
    </row>
    <row r="599">
      <c r="A599" t="inlineStr">
        <is>
          <t>2017-06-15</t>
        </is>
      </c>
      <c r="B599" t="n">
        <v>23.4015</v>
      </c>
      <c r="C599" t="n">
        <v>30.4613</v>
      </c>
    </row>
    <row r="600">
      <c r="A600" t="inlineStr">
        <is>
          <t>2017-06-16</t>
        </is>
      </c>
      <c r="B600" t="n">
        <v>23.4745</v>
      </c>
      <c r="C600" t="n">
        <v>30.5382</v>
      </c>
    </row>
    <row r="601">
      <c r="A601" t="inlineStr">
        <is>
          <t>2017-06-19</t>
        </is>
      </c>
      <c r="B601" t="n">
        <v>23.5563</v>
      </c>
      <c r="C601" t="n">
        <v>30.6527</v>
      </c>
    </row>
    <row r="602">
      <c r="A602" t="inlineStr">
        <is>
          <t>2017-06-20</t>
        </is>
      </c>
      <c r="B602" t="n">
        <v>23.5376</v>
      </c>
      <c r="C602" t="n">
        <v>30.6101</v>
      </c>
    </row>
    <row r="603">
      <c r="A603" t="inlineStr">
        <is>
          <t>2017-06-21</t>
        </is>
      </c>
      <c r="B603" t="n">
        <v>23.4981</v>
      </c>
      <c r="C603" t="n">
        <v>30.5544</v>
      </c>
    </row>
    <row r="604">
      <c r="A604" t="inlineStr">
        <is>
          <t>2017-06-22</t>
        </is>
      </c>
      <c r="B604" t="n">
        <v>23.5591</v>
      </c>
      <c r="C604" t="n">
        <v>30.6228</v>
      </c>
    </row>
    <row r="605">
      <c r="A605" t="inlineStr">
        <is>
          <t>2017-06-23</t>
        </is>
      </c>
      <c r="B605" t="n">
        <v>23.5857</v>
      </c>
      <c r="C605" t="n">
        <v>30.6624</v>
      </c>
    </row>
    <row r="606">
      <c r="A606" t="inlineStr">
        <is>
          <t>2017-06-26</t>
        </is>
      </c>
      <c r="B606" t="n">
        <v>23.6147</v>
      </c>
      <c r="C606" t="n">
        <v>30.6962</v>
      </c>
    </row>
    <row r="607">
      <c r="A607" t="inlineStr">
        <is>
          <t>2017-06-27</t>
        </is>
      </c>
      <c r="B607" t="n">
        <v>23.6536</v>
      </c>
      <c r="C607" t="n">
        <v>30.7621</v>
      </c>
    </row>
    <row r="608">
      <c r="A608" t="inlineStr">
        <is>
          <t>2017-06-28</t>
        </is>
      </c>
      <c r="B608" t="n">
        <v>23.6227</v>
      </c>
      <c r="C608" t="n">
        <v>30.6921</v>
      </c>
    </row>
    <row r="609">
      <c r="A609" t="inlineStr">
        <is>
          <t>2017-06-29</t>
        </is>
      </c>
      <c r="B609" t="n">
        <v>23.5563</v>
      </c>
      <c r="C609" t="n">
        <v>30.6238</v>
      </c>
    </row>
    <row r="610">
      <c r="A610" t="inlineStr">
        <is>
          <t>2017-06-30</t>
        </is>
      </c>
      <c r="B610" t="n">
        <v>23.5325</v>
      </c>
      <c r="C610" t="n">
        <v>30.5927</v>
      </c>
    </row>
    <row r="611">
      <c r="A611" t="inlineStr">
        <is>
          <t>2017-07-03</t>
        </is>
      </c>
      <c r="B611" t="n">
        <v>23.6567</v>
      </c>
      <c r="C611" t="n">
        <v>30.739</v>
      </c>
    </row>
    <row r="612">
      <c r="A612" t="inlineStr">
        <is>
          <t>2017-07-04</t>
        </is>
      </c>
      <c r="B612" t="n">
        <v>23.6027</v>
      </c>
      <c r="C612" t="n">
        <v>30.6229</v>
      </c>
    </row>
    <row r="613">
      <c r="A613" t="inlineStr">
        <is>
          <t>2017-07-05</t>
        </is>
      </c>
      <c r="B613" t="n">
        <v>23.6423</v>
      </c>
      <c r="C613" t="n">
        <v>30.6419</v>
      </c>
    </row>
    <row r="614">
      <c r="A614" t="inlineStr">
        <is>
          <t>2017-07-06</t>
        </is>
      </c>
      <c r="B614" t="n">
        <v>23.5737</v>
      </c>
      <c r="C614" t="n">
        <v>30.5682</v>
      </c>
    </row>
    <row r="615">
      <c r="A615" t="inlineStr">
        <is>
          <t>2017-07-07</t>
        </is>
      </c>
      <c r="B615" t="n">
        <v>23.5561</v>
      </c>
      <c r="C615" t="n">
        <v>30.5429</v>
      </c>
    </row>
    <row r="616">
      <c r="A616" t="inlineStr">
        <is>
          <t>2017-07-11</t>
        </is>
      </c>
      <c r="B616" t="n">
        <v>23.5048</v>
      </c>
      <c r="C616" t="n">
        <v>30.5087</v>
      </c>
    </row>
    <row r="617">
      <c r="A617" t="inlineStr">
        <is>
          <t>2017-07-12</t>
        </is>
      </c>
      <c r="B617" t="n">
        <v>23.5844</v>
      </c>
      <c r="C617" t="n">
        <v>30.6321</v>
      </c>
    </row>
    <row r="618">
      <c r="A618" t="inlineStr">
        <is>
          <t>2017-07-13</t>
        </is>
      </c>
      <c r="B618" t="n">
        <v>23.6512</v>
      </c>
      <c r="C618" t="n">
        <v>30.7353</v>
      </c>
    </row>
    <row r="619">
      <c r="A619" t="inlineStr">
        <is>
          <t>2017-07-14</t>
        </is>
      </c>
      <c r="B619" t="n">
        <v>23.6439</v>
      </c>
    </row>
    <row r="620">
      <c r="A620" t="inlineStr">
        <is>
          <t>2017-07-17</t>
        </is>
      </c>
      <c r="B620" t="n">
        <v>23.5815</v>
      </c>
      <c r="C620" t="n">
        <v>30.6593</v>
      </c>
    </row>
    <row r="621">
      <c r="A621" t="inlineStr">
        <is>
          <t>2017-07-18</t>
        </is>
      </c>
      <c r="B621" t="n">
        <v>23.5681</v>
      </c>
      <c r="C621" t="n">
        <v>30.6445</v>
      </c>
    </row>
    <row r="622">
      <c r="A622" t="inlineStr">
        <is>
          <t>2017-07-19</t>
        </is>
      </c>
      <c r="B622" t="n">
        <v>23.6439</v>
      </c>
      <c r="C622" t="n">
        <v>30.7642</v>
      </c>
    </row>
    <row r="623">
      <c r="A623" t="inlineStr">
        <is>
          <t>2017-07-20</t>
        </is>
      </c>
      <c r="B623" t="n">
        <v>23.618</v>
      </c>
      <c r="C623" t="n">
        <v>30.7139</v>
      </c>
    </row>
    <row r="624">
      <c r="A624" t="inlineStr">
        <is>
          <t>2017-07-21</t>
        </is>
      </c>
      <c r="B624" t="n">
        <v>23.6023</v>
      </c>
      <c r="C624" t="n">
        <v>30.7019</v>
      </c>
    </row>
    <row r="625">
      <c r="A625" t="inlineStr">
        <is>
          <t>2017-07-24</t>
        </is>
      </c>
      <c r="B625" t="n">
        <v>23.6489</v>
      </c>
      <c r="C625" t="n">
        <v>30.7826</v>
      </c>
    </row>
    <row r="626">
      <c r="A626" t="inlineStr">
        <is>
          <t>2017-07-25</t>
        </is>
      </c>
      <c r="B626" t="n">
        <v>23.7657</v>
      </c>
      <c r="C626" t="n">
        <v>30.9234</v>
      </c>
    </row>
    <row r="627">
      <c r="A627" t="inlineStr">
        <is>
          <t>2017-07-26</t>
        </is>
      </c>
      <c r="B627" t="n">
        <v>23.8128</v>
      </c>
      <c r="C627" t="n">
        <v>30.9764</v>
      </c>
    </row>
    <row r="628">
      <c r="A628" t="inlineStr">
        <is>
          <t>2017-07-27</t>
        </is>
      </c>
      <c r="B628" t="n">
        <v>23.8095</v>
      </c>
      <c r="C628" t="n">
        <v>30.9698</v>
      </c>
    </row>
    <row r="629">
      <c r="A629" t="inlineStr">
        <is>
          <t>2017-07-31</t>
        </is>
      </c>
      <c r="B629" t="n">
        <v>23.7284</v>
      </c>
      <c r="C629" t="n">
        <v>30.8725</v>
      </c>
    </row>
    <row r="630">
      <c r="A630" t="inlineStr">
        <is>
          <t>2017-08-01</t>
        </is>
      </c>
      <c r="B630" t="n">
        <v>23.7042</v>
      </c>
      <c r="C630" t="n">
        <v>30.8423</v>
      </c>
    </row>
    <row r="631">
      <c r="A631" t="inlineStr">
        <is>
          <t>2017-08-02</t>
        </is>
      </c>
      <c r="B631" t="n">
        <v>23.7418</v>
      </c>
      <c r="C631" t="n">
        <v>30.9064</v>
      </c>
    </row>
    <row r="632">
      <c r="A632" t="inlineStr">
        <is>
          <t>2017-08-03</t>
        </is>
      </c>
      <c r="B632" t="n">
        <v>23.7203</v>
      </c>
      <c r="C632" t="n">
        <v>30.8377</v>
      </c>
    </row>
    <row r="633">
      <c r="A633" t="inlineStr">
        <is>
          <t>2017-08-04</t>
        </is>
      </c>
      <c r="B633" t="n">
        <v>23.7102</v>
      </c>
      <c r="C633" t="n">
        <v>30.8223</v>
      </c>
    </row>
    <row r="634">
      <c r="A634" t="inlineStr">
        <is>
          <t>2017-08-07</t>
        </is>
      </c>
      <c r="B634" t="n">
        <v>23.7123</v>
      </c>
      <c r="C634" t="n">
        <v>30.8097</v>
      </c>
    </row>
    <row r="635">
      <c r="A635" t="inlineStr">
        <is>
          <t>2017-08-08</t>
        </is>
      </c>
      <c r="B635" t="n">
        <v>23.7836</v>
      </c>
      <c r="C635" t="n">
        <v>30.9075</v>
      </c>
    </row>
    <row r="636">
      <c r="A636" t="inlineStr">
        <is>
          <t>2017-08-09</t>
        </is>
      </c>
      <c r="B636" t="n">
        <v>23.7359</v>
      </c>
      <c r="C636" t="n">
        <v>30.8173</v>
      </c>
    </row>
    <row r="637">
      <c r="A637" t="inlineStr">
        <is>
          <t>2017-08-10</t>
        </is>
      </c>
      <c r="B637" t="n">
        <v>23.7193</v>
      </c>
      <c r="C637" t="n">
        <v>30.8437</v>
      </c>
    </row>
    <row r="638">
      <c r="A638" t="inlineStr">
        <is>
          <t>2017-08-11</t>
        </is>
      </c>
      <c r="B638" t="n">
        <v>23.6138</v>
      </c>
      <c r="C638" t="n">
        <v>30.682</v>
      </c>
    </row>
    <row r="639">
      <c r="A639" t="inlineStr">
        <is>
          <t>2017-08-15</t>
        </is>
      </c>
      <c r="B639" t="n">
        <v>23.7039</v>
      </c>
      <c r="C639" t="n">
        <v>30.8054</v>
      </c>
    </row>
    <row r="640">
      <c r="A640" t="inlineStr">
        <is>
          <t>2017-08-16</t>
        </is>
      </c>
      <c r="B640" t="n">
        <v>23.6868</v>
      </c>
      <c r="C640" t="n">
        <v>30.7962</v>
      </c>
    </row>
    <row r="641">
      <c r="A641" t="inlineStr">
        <is>
          <t>2017-08-17</t>
        </is>
      </c>
      <c r="B641" t="n">
        <v>23.6711</v>
      </c>
      <c r="C641" t="n">
        <v>30.7781</v>
      </c>
    </row>
    <row r="642">
      <c r="A642" t="inlineStr">
        <is>
          <t>2017-08-18</t>
        </is>
      </c>
      <c r="B642" t="n">
        <v>23.6767</v>
      </c>
      <c r="C642" t="n">
        <v>30.7518</v>
      </c>
    </row>
    <row r="643">
      <c r="A643" t="inlineStr">
        <is>
          <t>2017-08-21</t>
        </is>
      </c>
      <c r="B643" t="n">
        <v>23.7317</v>
      </c>
      <c r="C643" t="n">
        <v>30.8361</v>
      </c>
    </row>
    <row r="644">
      <c r="A644" t="inlineStr">
        <is>
          <t>2017-08-22</t>
        </is>
      </c>
      <c r="B644" t="n">
        <v>23.7882</v>
      </c>
      <c r="C644" t="n">
        <v>30.9166</v>
      </c>
    </row>
    <row r="645">
      <c r="A645" t="inlineStr">
        <is>
          <t>2017-08-23</t>
        </is>
      </c>
      <c r="B645" t="n">
        <v>23.8185</v>
      </c>
      <c r="C645" t="n">
        <v>30.9364</v>
      </c>
    </row>
    <row r="646">
      <c r="A646" t="inlineStr">
        <is>
          <t>2017-08-24</t>
        </is>
      </c>
      <c r="B646" t="n">
        <v>23.8697</v>
      </c>
      <c r="C646" t="n">
        <v>31.0001</v>
      </c>
    </row>
    <row r="647">
      <c r="A647" t="inlineStr">
        <is>
          <t>2017-08-25</t>
        </is>
      </c>
      <c r="B647" t="n">
        <v>23.8599</v>
      </c>
      <c r="C647" t="n">
        <v>31.0037</v>
      </c>
    </row>
    <row r="648">
      <c r="A648" t="inlineStr">
        <is>
          <t>2017-08-28</t>
        </is>
      </c>
      <c r="B648" t="n">
        <v>24.0369</v>
      </c>
      <c r="C648" t="n">
        <v>31.2295</v>
      </c>
    </row>
    <row r="649">
      <c r="A649" t="inlineStr">
        <is>
          <t>2017-08-29</t>
        </is>
      </c>
      <c r="B649" t="n">
        <v>24.5872</v>
      </c>
      <c r="C649" t="n">
        <v>31.9686</v>
      </c>
    </row>
    <row r="650">
      <c r="A650" t="inlineStr">
        <is>
          <t>2017-08-30</t>
        </is>
      </c>
      <c r="B650" t="n">
        <v>24.5876</v>
      </c>
      <c r="C650" t="n">
        <v>31.9649</v>
      </c>
    </row>
    <row r="651">
      <c r="A651" t="inlineStr">
        <is>
          <t>2017-08-31</t>
        </is>
      </c>
      <c r="B651" t="n">
        <v>24.6329</v>
      </c>
      <c r="C651" t="n">
        <v>32.0496</v>
      </c>
    </row>
    <row r="652">
      <c r="A652" t="inlineStr">
        <is>
          <t>2017-09-01</t>
        </is>
      </c>
      <c r="B652" t="n">
        <v>24.6437</v>
      </c>
      <c r="C652" t="n">
        <v>32.0414</v>
      </c>
    </row>
    <row r="653">
      <c r="A653" t="inlineStr">
        <is>
          <t>2017-09-04</t>
        </is>
      </c>
      <c r="B653" t="n">
        <v>24.658</v>
      </c>
      <c r="C653" t="n">
        <v>32.0567</v>
      </c>
    </row>
    <row r="654">
      <c r="A654" t="inlineStr">
        <is>
          <t>2017-09-05</t>
        </is>
      </c>
      <c r="B654" t="n">
        <v>24.688</v>
      </c>
      <c r="C654" t="n">
        <v>32.072</v>
      </c>
    </row>
    <row r="655">
      <c r="A655" t="inlineStr">
        <is>
          <t>2017-09-06</t>
        </is>
      </c>
      <c r="B655" t="n">
        <v>24.682</v>
      </c>
      <c r="C655" t="n">
        <v>32.0753</v>
      </c>
    </row>
    <row r="656">
      <c r="A656" t="inlineStr">
        <is>
          <t>2017-09-07</t>
        </is>
      </c>
      <c r="B656" t="n">
        <v>24.8686</v>
      </c>
      <c r="C656" t="n">
        <v>32.3263</v>
      </c>
    </row>
    <row r="657">
      <c r="A657" t="inlineStr">
        <is>
          <t>2017-09-08</t>
        </is>
      </c>
      <c r="B657" t="n">
        <v>24.9839</v>
      </c>
      <c r="C657" t="n">
        <v>32.4683</v>
      </c>
    </row>
    <row r="658">
      <c r="A658" t="inlineStr">
        <is>
          <t>2017-09-11</t>
        </is>
      </c>
      <c r="B658" t="n">
        <v>24.9906</v>
      </c>
      <c r="C658" t="n">
        <v>32.4982</v>
      </c>
    </row>
    <row r="659">
      <c r="A659" t="inlineStr">
        <is>
          <t>2017-09-12</t>
        </is>
      </c>
      <c r="B659" t="n">
        <v>25.1326</v>
      </c>
      <c r="C659" t="n">
        <v>32.6053</v>
      </c>
    </row>
    <row r="660">
      <c r="A660" t="inlineStr">
        <is>
          <t>2017-09-13</t>
        </is>
      </c>
      <c r="B660" t="n">
        <v>25.1107</v>
      </c>
      <c r="C660" t="n">
        <v>32.5712</v>
      </c>
    </row>
    <row r="661">
      <c r="A661" t="inlineStr">
        <is>
          <t>2017-09-14</t>
        </is>
      </c>
      <c r="B661" t="n">
        <v>25.4168</v>
      </c>
      <c r="C661" t="n">
        <v>32.9736</v>
      </c>
    </row>
    <row r="662">
      <c r="A662" t="inlineStr">
        <is>
          <t>2017-09-15</t>
        </is>
      </c>
      <c r="B662" t="n">
        <v>25.4956</v>
      </c>
      <c r="C662" t="n">
        <v>33.0344</v>
      </c>
    </row>
    <row r="663">
      <c r="A663" t="inlineStr">
        <is>
          <t>2017-09-18</t>
        </is>
      </c>
      <c r="B663" t="n">
        <v>25.7086</v>
      </c>
      <c r="C663" t="n">
        <v>33.3374</v>
      </c>
    </row>
    <row r="664">
      <c r="A664" t="inlineStr">
        <is>
          <t>2017-09-19</t>
        </is>
      </c>
      <c r="B664" t="n">
        <v>25.7696</v>
      </c>
      <c r="C664" t="n">
        <v>33.3904</v>
      </c>
    </row>
    <row r="665">
      <c r="A665" t="inlineStr">
        <is>
          <t>2017-09-20</t>
        </is>
      </c>
      <c r="B665" t="n">
        <v>25.6659</v>
      </c>
      <c r="C665" t="n">
        <v>33.2894</v>
      </c>
    </row>
    <row r="666">
      <c r="A666" t="inlineStr">
        <is>
          <t>2017-09-21</t>
        </is>
      </c>
      <c r="B666" t="n">
        <v>25.6217</v>
      </c>
      <c r="C666" t="n">
        <v>33.2203</v>
      </c>
    </row>
    <row r="667">
      <c r="A667" t="inlineStr">
        <is>
          <t>2017-09-22</t>
        </is>
      </c>
      <c r="B667" t="n">
        <v>25.3751</v>
      </c>
      <c r="C667" t="n">
        <v>32.9378</v>
      </c>
    </row>
    <row r="668">
      <c r="A668" t="inlineStr">
        <is>
          <t>2017-09-25</t>
        </is>
      </c>
      <c r="B668" t="n">
        <v>25.563</v>
      </c>
      <c r="C668" t="n">
        <v>33.129</v>
      </c>
    </row>
    <row r="669">
      <c r="A669" t="inlineStr">
        <is>
          <t>2017-09-26</t>
        </is>
      </c>
      <c r="B669" t="n">
        <v>25.5893</v>
      </c>
      <c r="C669" t="n">
        <v>33.1796</v>
      </c>
    </row>
    <row r="670">
      <c r="A670" t="inlineStr">
        <is>
          <t>2017-09-27</t>
        </is>
      </c>
      <c r="B670" t="n">
        <v>25.5938</v>
      </c>
      <c r="C670" t="n">
        <v>33.2206</v>
      </c>
    </row>
    <row r="671">
      <c r="A671" t="inlineStr">
        <is>
          <t>2017-09-28</t>
        </is>
      </c>
      <c r="B671" t="n">
        <v>25.5203</v>
      </c>
      <c r="C671" t="n">
        <v>33.0875</v>
      </c>
    </row>
    <row r="672">
      <c r="A672" t="inlineStr">
        <is>
          <t>2017-09-29</t>
        </is>
      </c>
      <c r="B672" t="n">
        <v>25.586</v>
      </c>
      <c r="C672" t="n">
        <v>33.1721</v>
      </c>
    </row>
    <row r="673">
      <c r="A673" t="inlineStr">
        <is>
          <t>2017-10-02</t>
        </is>
      </c>
      <c r="B673" t="n">
        <v>25.8398</v>
      </c>
      <c r="C673" t="n">
        <v>33.5592</v>
      </c>
    </row>
    <row r="674">
      <c r="A674" t="inlineStr">
        <is>
          <t>2017-10-03</t>
        </is>
      </c>
      <c r="B674" t="n">
        <v>25.7998</v>
      </c>
      <c r="C674" t="n">
        <v>33.5449</v>
      </c>
    </row>
    <row r="675">
      <c r="A675" t="inlineStr">
        <is>
          <t>2017-10-04</t>
        </is>
      </c>
      <c r="B675" t="n">
        <v>25.712</v>
      </c>
      <c r="C675" t="n">
        <v>33.4265</v>
      </c>
    </row>
    <row r="676">
      <c r="A676" t="inlineStr">
        <is>
          <t>2017-10-05</t>
        </is>
      </c>
      <c r="B676" t="n">
        <v>25.7221</v>
      </c>
      <c r="C676" t="n">
        <v>33.4497</v>
      </c>
    </row>
    <row r="677">
      <c r="A677" t="inlineStr">
        <is>
          <t>2017-10-06</t>
        </is>
      </c>
      <c r="B677" t="n">
        <v>25.8035</v>
      </c>
      <c r="C677" t="n">
        <v>33.562</v>
      </c>
    </row>
    <row r="678">
      <c r="A678" t="inlineStr">
        <is>
          <t>2017-10-09</t>
        </is>
      </c>
      <c r="B678" t="n">
        <v>25.7554</v>
      </c>
      <c r="C678" t="n">
        <v>33.5055</v>
      </c>
    </row>
    <row r="679">
      <c r="A679" t="inlineStr">
        <is>
          <t>2017-10-10</t>
        </is>
      </c>
      <c r="B679" t="n">
        <v>26.0424</v>
      </c>
      <c r="C679" t="n">
        <v>33.8813</v>
      </c>
    </row>
    <row r="680">
      <c r="A680" t="inlineStr">
        <is>
          <t>2017-10-11</t>
        </is>
      </c>
      <c r="B680" t="n">
        <v>26.1511</v>
      </c>
      <c r="C680" t="n">
        <v>34.0235</v>
      </c>
    </row>
    <row r="681">
      <c r="A681" t="inlineStr">
        <is>
          <t>2017-10-12</t>
        </is>
      </c>
      <c r="B681" t="n">
        <v>26.0873</v>
      </c>
      <c r="C681" t="n">
        <v>33.9524</v>
      </c>
    </row>
    <row r="682">
      <c r="A682" t="inlineStr">
        <is>
          <t>2017-10-16</t>
        </is>
      </c>
      <c r="B682" t="n">
        <v>26.3059</v>
      </c>
      <c r="C682" t="n">
        <v>34.2939</v>
      </c>
    </row>
    <row r="683">
      <c r="A683" t="inlineStr">
        <is>
          <t>2017-10-17</t>
        </is>
      </c>
      <c r="B683" t="n">
        <v>26.3184</v>
      </c>
      <c r="C683" t="n">
        <v>34.2703</v>
      </c>
    </row>
    <row r="684">
      <c r="A684" t="inlineStr">
        <is>
          <t>2017-10-18</t>
        </is>
      </c>
      <c r="B684" t="n">
        <v>26.0269</v>
      </c>
      <c r="C684" t="n">
        <v>33.895</v>
      </c>
    </row>
    <row r="685">
      <c r="A685" t="inlineStr">
        <is>
          <t>2017-10-19</t>
        </is>
      </c>
      <c r="B685" t="n">
        <v>25.7191</v>
      </c>
      <c r="C685" t="n">
        <v>33.335</v>
      </c>
    </row>
    <row r="686">
      <c r="A686" t="inlineStr">
        <is>
          <t>2017-10-20</t>
        </is>
      </c>
      <c r="B686" t="n">
        <v>25.7897</v>
      </c>
      <c r="C686" t="n">
        <v>33.4796</v>
      </c>
    </row>
    <row r="687">
      <c r="A687" t="inlineStr">
        <is>
          <t>2017-10-24</t>
        </is>
      </c>
      <c r="B687" t="n">
        <v>25.8311</v>
      </c>
      <c r="C687" t="n">
        <v>33.598</v>
      </c>
    </row>
    <row r="688">
      <c r="A688" t="inlineStr">
        <is>
          <t>2017-10-25</t>
        </is>
      </c>
      <c r="B688" t="n">
        <v>25.8712</v>
      </c>
      <c r="C688" t="n">
        <v>33.6983</v>
      </c>
    </row>
    <row r="689">
      <c r="A689" t="inlineStr">
        <is>
          <t>2017-10-27</t>
        </is>
      </c>
      <c r="B689" t="n">
        <v>25.9924</v>
      </c>
      <c r="C689" t="n">
        <v>33.8329</v>
      </c>
    </row>
    <row r="690">
      <c r="A690" t="inlineStr">
        <is>
          <t>2017-10-30</t>
        </is>
      </c>
      <c r="B690" t="n">
        <v>26.0805</v>
      </c>
      <c r="C690" t="n">
        <v>33.9165</v>
      </c>
    </row>
    <row r="691">
      <c r="A691" t="inlineStr">
        <is>
          <t>2017-10-31</t>
        </is>
      </c>
      <c r="B691" t="n">
        <v>26.1021</v>
      </c>
      <c r="C691" t="n">
        <v>33.9562</v>
      </c>
    </row>
    <row r="692">
      <c r="A692" t="inlineStr">
        <is>
          <t>2017-11-01</t>
        </is>
      </c>
      <c r="B692" t="n">
        <v>26.0113</v>
      </c>
      <c r="C692" t="n">
        <v>33.7825</v>
      </c>
    </row>
    <row r="693">
      <c r="A693" t="inlineStr">
        <is>
          <t>2017-11-02</t>
        </is>
      </c>
      <c r="B693" t="n">
        <v>25.8269</v>
      </c>
      <c r="C693" t="n">
        <v>33.4839</v>
      </c>
    </row>
    <row r="694">
      <c r="A694" t="inlineStr">
        <is>
          <t>2017-11-03</t>
        </is>
      </c>
      <c r="B694" t="n">
        <v>25.8243</v>
      </c>
      <c r="C694" t="n">
        <v>33.4527</v>
      </c>
    </row>
    <row r="695">
      <c r="A695" t="inlineStr">
        <is>
          <t>2017-11-06</t>
        </is>
      </c>
      <c r="B695" t="n">
        <v>25.9776</v>
      </c>
      <c r="C695" t="n">
        <v>33.6933</v>
      </c>
    </row>
    <row r="696">
      <c r="A696" t="inlineStr">
        <is>
          <t>2017-11-07</t>
        </is>
      </c>
      <c r="B696" t="n">
        <v>26.0224</v>
      </c>
      <c r="C696" t="n">
        <v>33.7409</v>
      </c>
    </row>
    <row r="697">
      <c r="A697" t="inlineStr">
        <is>
          <t>2017-11-08</t>
        </is>
      </c>
      <c r="B697" t="n">
        <v>26.0589</v>
      </c>
      <c r="C697" t="n">
        <v>33.7745</v>
      </c>
    </row>
    <row r="698">
      <c r="A698" t="inlineStr">
        <is>
          <t>2017-11-09</t>
        </is>
      </c>
      <c r="B698" t="n">
        <v>25.8804</v>
      </c>
      <c r="C698" t="n">
        <v>33.5427</v>
      </c>
    </row>
    <row r="699">
      <c r="A699" t="inlineStr">
        <is>
          <t>2017-11-10</t>
        </is>
      </c>
      <c r="B699" t="n">
        <v>25.6967</v>
      </c>
      <c r="C699" t="n">
        <v>33.2795</v>
      </c>
    </row>
    <row r="700">
      <c r="A700" t="inlineStr">
        <is>
          <t>2017-11-13</t>
        </is>
      </c>
      <c r="B700" t="n">
        <v>25.6927</v>
      </c>
      <c r="C700" t="n">
        <v>33.2539</v>
      </c>
    </row>
    <row r="701">
      <c r="A701" t="inlineStr">
        <is>
          <t>2017-11-14</t>
        </is>
      </c>
      <c r="B701" t="n">
        <v>25.9585</v>
      </c>
      <c r="C701" t="n">
        <v>33.6079</v>
      </c>
    </row>
    <row r="702">
      <c r="A702" t="inlineStr">
        <is>
          <t>2017-11-15</t>
        </is>
      </c>
      <c r="B702" t="n">
        <v>25.7752</v>
      </c>
      <c r="C702" t="n">
        <v>33.3396</v>
      </c>
    </row>
    <row r="703">
      <c r="A703" t="inlineStr">
        <is>
          <t>2017-11-16</t>
        </is>
      </c>
      <c r="B703" t="n">
        <v>25.8157</v>
      </c>
      <c r="C703" t="n">
        <v>33.3891</v>
      </c>
    </row>
    <row r="704">
      <c r="A704" t="inlineStr">
        <is>
          <t>2017-11-17</t>
        </is>
      </c>
      <c r="B704" t="n">
        <v>26.1037</v>
      </c>
      <c r="C704" t="n">
        <v>33.7762</v>
      </c>
    </row>
    <row r="705">
      <c r="A705" t="inlineStr">
        <is>
          <t>2017-11-20</t>
        </is>
      </c>
      <c r="B705" t="n">
        <v>26.1113</v>
      </c>
      <c r="C705" t="n">
        <v>33.8239</v>
      </c>
    </row>
    <row r="706">
      <c r="A706" t="inlineStr">
        <is>
          <t>2017-11-21</t>
        </is>
      </c>
      <c r="B706" t="n">
        <v>26.0889</v>
      </c>
      <c r="C706" t="n">
        <v>33.7958</v>
      </c>
    </row>
    <row r="707">
      <c r="A707" t="inlineStr">
        <is>
          <t>2017-11-22</t>
        </is>
      </c>
      <c r="B707" t="n">
        <v>26.1658</v>
      </c>
      <c r="C707" t="n">
        <v>33.8887</v>
      </c>
    </row>
    <row r="708">
      <c r="A708" t="inlineStr">
        <is>
          <t>2017-11-23</t>
        </is>
      </c>
      <c r="B708" t="n">
        <v>26.0908</v>
      </c>
      <c r="C708" t="n">
        <v>33.8067</v>
      </c>
    </row>
    <row r="709">
      <c r="A709" t="inlineStr">
        <is>
          <t>2017-11-24</t>
        </is>
      </c>
      <c r="B709" t="n">
        <v>25.9741</v>
      </c>
      <c r="C709" t="n">
        <v>33.603</v>
      </c>
    </row>
    <row r="710">
      <c r="A710" t="inlineStr">
        <is>
          <t>2017-11-27</t>
        </is>
      </c>
      <c r="B710" t="n">
        <v>25.9985</v>
      </c>
      <c r="C710" t="n">
        <v>33.6284</v>
      </c>
    </row>
    <row r="711">
      <c r="A711" t="inlineStr">
        <is>
          <t>2017-11-28</t>
        </is>
      </c>
      <c r="B711" t="n">
        <v>26.1139</v>
      </c>
      <c r="C711" t="n">
        <v>33.8283</v>
      </c>
    </row>
    <row r="712">
      <c r="A712" t="inlineStr">
        <is>
          <t>2017-11-29</t>
        </is>
      </c>
      <c r="B712" t="n">
        <v>26.1321</v>
      </c>
      <c r="C712" t="n">
        <v>33.8474</v>
      </c>
    </row>
    <row r="713">
      <c r="A713" t="inlineStr">
        <is>
          <t>2017-11-30</t>
        </is>
      </c>
      <c r="B713" t="n">
        <v>26.0277</v>
      </c>
      <c r="C713" t="n">
        <v>33.6666</v>
      </c>
    </row>
    <row r="714">
      <c r="A714" t="inlineStr">
        <is>
          <t>2017-12-01</t>
        </is>
      </c>
      <c r="B714" t="n">
        <v>26.1213</v>
      </c>
      <c r="C714" t="n">
        <v>33.7702</v>
      </c>
    </row>
    <row r="715">
      <c r="A715" t="inlineStr">
        <is>
          <t>2017-12-04</t>
        </is>
      </c>
      <c r="B715" t="n">
        <v>26.1362</v>
      </c>
      <c r="C715" t="n">
        <v>33.8053</v>
      </c>
    </row>
    <row r="716">
      <c r="A716" t="inlineStr">
        <is>
          <t>2017-12-06</t>
        </is>
      </c>
      <c r="B716" t="n">
        <v>26.1713</v>
      </c>
      <c r="C716" t="n">
        <v>33.818</v>
      </c>
    </row>
    <row r="717">
      <c r="A717" t="inlineStr">
        <is>
          <t>2017-12-07</t>
        </is>
      </c>
      <c r="B717" t="n">
        <v>26.3057</v>
      </c>
      <c r="C717" t="n">
        <v>34.0412</v>
      </c>
    </row>
    <row r="718">
      <c r="A718" t="inlineStr">
        <is>
          <t>2017-12-08</t>
        </is>
      </c>
      <c r="B718" t="n">
        <v>26.349</v>
      </c>
      <c r="C718" t="n">
        <v>34.1197</v>
      </c>
    </row>
    <row r="719">
      <c r="A719" t="inlineStr">
        <is>
          <t>2017-12-12</t>
        </is>
      </c>
      <c r="B719" t="n">
        <v>26.4251</v>
      </c>
      <c r="C719" t="n">
        <v>34.1748</v>
      </c>
    </row>
    <row r="720">
      <c r="A720" t="inlineStr">
        <is>
          <t>2017-12-13</t>
        </is>
      </c>
      <c r="B720" t="n">
        <v>26.4767</v>
      </c>
      <c r="C720" t="n">
        <v>34.2612</v>
      </c>
    </row>
    <row r="721">
      <c r="A721" t="inlineStr">
        <is>
          <t>2017-12-14</t>
        </is>
      </c>
      <c r="B721" t="n">
        <v>26.6673</v>
      </c>
      <c r="C721" t="n">
        <v>34.4862</v>
      </c>
    </row>
    <row r="722">
      <c r="A722" t="inlineStr">
        <is>
          <t>2017-12-15</t>
        </is>
      </c>
      <c r="B722" t="n">
        <v>26.6981</v>
      </c>
      <c r="C722" t="n">
        <v>34.5411</v>
      </c>
    </row>
    <row r="723">
      <c r="A723" t="inlineStr">
        <is>
          <t>2017-12-18</t>
        </is>
      </c>
      <c r="B723" t="n">
        <v>26.808</v>
      </c>
      <c r="C723" t="n">
        <v>34.6779</v>
      </c>
    </row>
    <row r="724">
      <c r="A724" t="inlineStr">
        <is>
          <t>2017-12-19</t>
        </is>
      </c>
      <c r="B724" t="n">
        <v>26.8819</v>
      </c>
      <c r="C724" t="n">
        <v>34.8153</v>
      </c>
    </row>
    <row r="725">
      <c r="A725" t="inlineStr">
        <is>
          <t>2017-12-20</t>
        </is>
      </c>
      <c r="B725" t="n">
        <v>26.9967</v>
      </c>
      <c r="C725" t="n">
        <v>34.9355</v>
      </c>
    </row>
    <row r="726">
      <c r="A726" t="inlineStr">
        <is>
          <t>2017-12-21</t>
        </is>
      </c>
      <c r="B726" t="n">
        <v>26.9629</v>
      </c>
      <c r="C726" t="n">
        <v>34.8846</v>
      </c>
    </row>
    <row r="727">
      <c r="A727" t="inlineStr">
        <is>
          <t>2017-12-22</t>
        </is>
      </c>
      <c r="B727" t="n">
        <v>27.0486</v>
      </c>
      <c r="C727" t="n">
        <v>35.0042</v>
      </c>
    </row>
    <row r="728">
      <c r="A728" t="inlineStr">
        <is>
          <t>2017-12-25</t>
        </is>
      </c>
      <c r="B728" t="n">
        <v>27.1825</v>
      </c>
      <c r="C728" t="n">
        <v>35.225</v>
      </c>
    </row>
    <row r="729">
      <c r="A729" t="inlineStr">
        <is>
          <t>2017-12-26</t>
        </is>
      </c>
      <c r="B729" t="n">
        <v>27.1826</v>
      </c>
      <c r="C729" t="n">
        <v>35.2407</v>
      </c>
    </row>
    <row r="730">
      <c r="A730" t="inlineStr">
        <is>
          <t>2017-12-27</t>
        </is>
      </c>
      <c r="B730" t="n">
        <v>27.1922</v>
      </c>
      <c r="C730" t="n">
        <v>35.2606</v>
      </c>
    </row>
    <row r="731">
      <c r="A731" t="inlineStr">
        <is>
          <t>2017-12-28</t>
        </is>
      </c>
      <c r="B731" t="n">
        <v>27.0322</v>
      </c>
      <c r="C731" t="n">
        <v>35.0349</v>
      </c>
    </row>
    <row r="732">
      <c r="A732" t="inlineStr">
        <is>
          <t>2017-12-29</t>
        </is>
      </c>
      <c r="B732" t="n">
        <v>27.139</v>
      </c>
      <c r="C732" t="n">
        <v>35.2148</v>
      </c>
    </row>
    <row r="733">
      <c r="A733" t="inlineStr">
        <is>
          <t>2018-01-03</t>
        </is>
      </c>
      <c r="B733" t="n">
        <v>27.6372</v>
      </c>
      <c r="C733" t="n">
        <v>35.8615</v>
      </c>
    </row>
    <row r="734">
      <c r="A734" t="inlineStr">
        <is>
          <t>2018-01-04</t>
        </is>
      </c>
      <c r="B734" t="n">
        <v>27.9631</v>
      </c>
      <c r="C734" t="n">
        <v>36.199</v>
      </c>
    </row>
    <row r="735">
      <c r="A735" t="inlineStr">
        <is>
          <t>2018-01-05</t>
        </is>
      </c>
      <c r="B735" t="n">
        <v>27.9569</v>
      </c>
      <c r="C735" t="n">
        <v>36.1936</v>
      </c>
    </row>
    <row r="736">
      <c r="A736" t="inlineStr">
        <is>
          <t>2018-01-08</t>
        </is>
      </c>
      <c r="B736" t="n">
        <v>27.931</v>
      </c>
      <c r="C736" t="n">
        <v>36.0822</v>
      </c>
    </row>
    <row r="737">
      <c r="A737" t="inlineStr">
        <is>
          <t>2018-01-09</t>
        </is>
      </c>
      <c r="B737" t="n">
        <v>28.051</v>
      </c>
      <c r="C737" t="n">
        <v>36.149</v>
      </c>
    </row>
    <row r="738">
      <c r="A738" t="inlineStr">
        <is>
          <t>2018-01-10</t>
        </is>
      </c>
      <c r="B738" t="n">
        <v>28.0619</v>
      </c>
      <c r="C738" t="n">
        <v>36.1135</v>
      </c>
    </row>
    <row r="739">
      <c r="A739" t="inlineStr">
        <is>
          <t>2018-01-11</t>
        </is>
      </c>
      <c r="B739" t="n">
        <v>28.0753</v>
      </c>
      <c r="C739" t="n">
        <v>36.2925</v>
      </c>
    </row>
    <row r="740">
      <c r="A740" t="inlineStr">
        <is>
          <t>2018-01-12</t>
        </is>
      </c>
      <c r="B740" t="n">
        <v>28.1809</v>
      </c>
      <c r="C740" t="n">
        <v>36.4537</v>
      </c>
    </row>
    <row r="741">
      <c r="A741" t="inlineStr">
        <is>
          <t>2018-01-15</t>
        </is>
      </c>
      <c r="B741" t="n">
        <v>28.4669</v>
      </c>
      <c r="C741" t="n">
        <v>36.8396</v>
      </c>
    </row>
    <row r="742">
      <c r="A742" t="inlineStr">
        <is>
          <t>2018-01-16</t>
        </is>
      </c>
      <c r="B742" t="n">
        <v>28.4319</v>
      </c>
      <c r="C742" t="n">
        <v>36.7973</v>
      </c>
    </row>
    <row r="743">
      <c r="A743" t="inlineStr">
        <is>
          <t>2018-01-17</t>
        </is>
      </c>
      <c r="B743" t="n">
        <v>28.5255</v>
      </c>
      <c r="C743" t="n">
        <v>36.8857</v>
      </c>
    </row>
    <row r="744">
      <c r="A744" t="inlineStr">
        <is>
          <t>2018-01-18</t>
        </is>
      </c>
      <c r="B744" t="n">
        <v>28.3441</v>
      </c>
      <c r="C744" t="n">
        <v>36.6711</v>
      </c>
    </row>
    <row r="745">
      <c r="A745" t="inlineStr">
        <is>
          <t>2018-01-19</t>
        </is>
      </c>
      <c r="B745" t="n">
        <v>28.3176</v>
      </c>
      <c r="C745" t="n">
        <v>36.6982</v>
      </c>
    </row>
    <row r="746">
      <c r="A746" t="inlineStr">
        <is>
          <t>2018-01-22</t>
        </is>
      </c>
      <c r="B746" t="n">
        <v>28.3715</v>
      </c>
      <c r="C746" t="n">
        <v>36.7653</v>
      </c>
    </row>
    <row r="747">
      <c r="A747" t="inlineStr">
        <is>
          <t>2018-01-23</t>
        </is>
      </c>
      <c r="B747" t="n">
        <v>28.5843</v>
      </c>
      <c r="C747" t="n">
        <v>36.9782</v>
      </c>
    </row>
    <row r="748">
      <c r="A748" t="inlineStr">
        <is>
          <t>2018-01-24</t>
        </is>
      </c>
      <c r="B748" t="n">
        <v>28.6671</v>
      </c>
      <c r="C748" t="n">
        <v>37.0657</v>
      </c>
    </row>
    <row r="749">
      <c r="A749" t="inlineStr">
        <is>
          <t>2018-01-25</t>
        </is>
      </c>
      <c r="B749" t="n">
        <v>28.3237</v>
      </c>
      <c r="C749" t="n">
        <v>36.6334</v>
      </c>
    </row>
    <row r="750">
      <c r="A750" t="inlineStr">
        <is>
          <t>2018-01-26</t>
        </is>
      </c>
      <c r="B750" t="n">
        <v>28.4914</v>
      </c>
      <c r="C750" t="n">
        <v>36.8754</v>
      </c>
    </row>
    <row r="751">
      <c r="A751" t="inlineStr">
        <is>
          <t>2018-01-29</t>
        </is>
      </c>
      <c r="B751" t="n">
        <v>28.6407</v>
      </c>
      <c r="C751" t="n">
        <v>37.0586</v>
      </c>
    </row>
    <row r="752">
      <c r="A752" t="inlineStr">
        <is>
          <t>2018-01-30</t>
        </is>
      </c>
      <c r="B752" t="n">
        <v>28.4331</v>
      </c>
      <c r="C752" t="n">
        <v>36.7715</v>
      </c>
    </row>
    <row r="753">
      <c r="A753" t="inlineStr">
        <is>
          <t>2018-01-31</t>
        </is>
      </c>
      <c r="B753" t="n">
        <v>28.4315</v>
      </c>
      <c r="C753" t="n">
        <v>36.7706</v>
      </c>
    </row>
    <row r="754">
      <c r="A754" t="inlineStr">
        <is>
          <t>2018-02-01</t>
        </is>
      </c>
      <c r="B754" t="n">
        <v>28.567</v>
      </c>
      <c r="C754" t="n">
        <v>36.9447</v>
      </c>
    </row>
    <row r="755">
      <c r="A755" t="inlineStr">
        <is>
          <t>2018-02-02</t>
        </is>
      </c>
      <c r="B755" t="n">
        <v>28.5209</v>
      </c>
      <c r="C755" t="n">
        <v>36.8293</v>
      </c>
    </row>
    <row r="756">
      <c r="A756" t="inlineStr">
        <is>
          <t>2018-02-05</t>
        </is>
      </c>
      <c r="B756" t="n">
        <v>28.2054</v>
      </c>
      <c r="C756" t="n">
        <v>36.4403</v>
      </c>
    </row>
    <row r="757">
      <c r="A757" t="inlineStr">
        <is>
          <t>2018-02-06</t>
        </is>
      </c>
      <c r="B757" t="n">
        <v>27.8796</v>
      </c>
      <c r="C757" t="n">
        <v>36.0174</v>
      </c>
    </row>
    <row r="758">
      <c r="A758" t="inlineStr">
        <is>
          <t>2018-02-07</t>
        </is>
      </c>
      <c r="B758" t="n">
        <v>27.8059</v>
      </c>
      <c r="C758" t="n">
        <v>35.969</v>
      </c>
    </row>
    <row r="759">
      <c r="A759" t="inlineStr">
        <is>
          <t>2018-02-08</t>
        </is>
      </c>
      <c r="B759" t="n">
        <v>27.7703</v>
      </c>
      <c r="C759" t="n">
        <v>35.9069</v>
      </c>
    </row>
    <row r="760">
      <c r="A760" t="inlineStr">
        <is>
          <t>2018-02-09</t>
        </is>
      </c>
      <c r="B760" t="n">
        <v>27.7437</v>
      </c>
      <c r="C760" t="n">
        <v>35.8353</v>
      </c>
    </row>
    <row r="761">
      <c r="A761" t="inlineStr">
        <is>
          <t>2018-02-12</t>
        </is>
      </c>
      <c r="B761" t="n">
        <v>27.9194</v>
      </c>
      <c r="C761" t="n">
        <v>36.1147</v>
      </c>
    </row>
    <row r="762">
      <c r="A762" t="inlineStr">
        <is>
          <t>2018-02-13</t>
        </is>
      </c>
      <c r="B762" t="n">
        <v>27.965</v>
      </c>
      <c r="C762" t="n">
        <v>36.1485</v>
      </c>
    </row>
    <row r="763">
      <c r="A763" t="inlineStr">
        <is>
          <t>2018-02-14</t>
        </is>
      </c>
      <c r="B763" t="n">
        <v>27.8677</v>
      </c>
      <c r="C763" t="n">
        <v>35.9973</v>
      </c>
    </row>
    <row r="764">
      <c r="A764" t="inlineStr">
        <is>
          <t>2018-02-15</t>
        </is>
      </c>
      <c r="B764" t="n">
        <v>28.092</v>
      </c>
      <c r="C764" t="n">
        <v>36.2722</v>
      </c>
    </row>
    <row r="765">
      <c r="A765" t="inlineStr">
        <is>
          <t>2018-02-16</t>
        </is>
      </c>
      <c r="B765" t="n">
        <v>28.1589</v>
      </c>
      <c r="C765" t="n">
        <v>36.3605</v>
      </c>
    </row>
    <row r="766">
      <c r="A766" t="inlineStr">
        <is>
          <t>2018-02-19</t>
        </is>
      </c>
      <c r="B766" t="n">
        <v>28.2463</v>
      </c>
      <c r="C766" t="n">
        <v>36.4561</v>
      </c>
    </row>
    <row r="767">
      <c r="A767" t="inlineStr">
        <is>
          <t>2018-02-20</t>
        </is>
      </c>
      <c r="B767" t="n">
        <v>28.0901</v>
      </c>
      <c r="C767" t="n">
        <v>36.2738</v>
      </c>
    </row>
    <row r="768">
      <c r="A768" t="inlineStr">
        <is>
          <t>2018-02-21</t>
        </is>
      </c>
      <c r="B768" t="n">
        <v>28.2481</v>
      </c>
      <c r="C768" t="n">
        <v>36.4186</v>
      </c>
    </row>
    <row r="769">
      <c r="A769" t="inlineStr">
        <is>
          <t>2018-02-22</t>
        </is>
      </c>
      <c r="B769" t="n">
        <v>28.2374</v>
      </c>
      <c r="C769" t="n">
        <v>36.3485</v>
      </c>
    </row>
    <row r="770">
      <c r="A770" t="inlineStr">
        <is>
          <t>2018-02-23</t>
        </is>
      </c>
      <c r="B770" t="n">
        <v>28.4864</v>
      </c>
      <c r="C770" t="n">
        <v>36.7172</v>
      </c>
    </row>
    <row r="771">
      <c r="A771" t="inlineStr">
        <is>
          <t>2018-02-26</t>
        </is>
      </c>
      <c r="B771" t="n">
        <v>29.0508</v>
      </c>
      <c r="C771" t="n">
        <v>37.4367</v>
      </c>
    </row>
    <row r="772">
      <c r="A772" t="inlineStr">
        <is>
          <t>2018-02-27</t>
        </is>
      </c>
      <c r="B772" t="n">
        <v>29.093</v>
      </c>
      <c r="C772" t="n">
        <v>37.4455</v>
      </c>
    </row>
    <row r="773">
      <c r="A773" t="inlineStr">
        <is>
          <t>2018-02-28</t>
        </is>
      </c>
      <c r="B773" t="n">
        <v>29.0525</v>
      </c>
      <c r="C773" t="n">
        <v>37.4357</v>
      </c>
    </row>
    <row r="774">
      <c r="A774" t="inlineStr">
        <is>
          <t>2018-03-02</t>
        </is>
      </c>
      <c r="B774" t="n">
        <v>28.7769</v>
      </c>
      <c r="C774" t="n">
        <v>37.0543</v>
      </c>
    </row>
    <row r="775">
      <c r="A775" t="inlineStr">
        <is>
          <t>2018-03-05</t>
        </is>
      </c>
      <c r="B775" t="n">
        <v>28.7713</v>
      </c>
      <c r="C775" t="n">
        <v>36.9799</v>
      </c>
    </row>
    <row r="776">
      <c r="A776" t="inlineStr">
        <is>
          <t>2018-03-06</t>
        </is>
      </c>
      <c r="B776" t="n">
        <v>28.7017</v>
      </c>
      <c r="C776" t="n">
        <v>36.8836</v>
      </c>
    </row>
    <row r="777">
      <c r="A777" t="inlineStr">
        <is>
          <t>2018-03-07</t>
        </is>
      </c>
      <c r="B777" t="n">
        <v>28.4167</v>
      </c>
      <c r="C777" t="n">
        <v>36.5109</v>
      </c>
    </row>
    <row r="778">
      <c r="A778" t="inlineStr">
        <is>
          <t>2018-03-08</t>
        </is>
      </c>
      <c r="B778" t="n">
        <v>28.35</v>
      </c>
      <c r="C778" t="n">
        <v>36.5144</v>
      </c>
    </row>
    <row r="779">
      <c r="A779" t="inlineStr">
        <is>
          <t>2018-03-09</t>
        </is>
      </c>
      <c r="B779" t="n">
        <v>28.4422</v>
      </c>
      <c r="C779" t="n">
        <v>36.5897</v>
      </c>
    </row>
    <row r="780">
      <c r="A780" t="inlineStr">
        <is>
          <t>2018-03-12</t>
        </is>
      </c>
      <c r="B780" t="n">
        <v>28.9137</v>
      </c>
      <c r="C780" t="n">
        <v>37.1547</v>
      </c>
    </row>
    <row r="781">
      <c r="A781" t="inlineStr">
        <is>
          <t>2018-03-13</t>
        </is>
      </c>
      <c r="B781" t="n">
        <v>29.0493</v>
      </c>
      <c r="C781" t="n">
        <v>37.3185</v>
      </c>
    </row>
    <row r="782">
      <c r="A782" t="inlineStr">
        <is>
          <t>2018-03-14</t>
        </is>
      </c>
      <c r="B782" t="n">
        <v>29.0647</v>
      </c>
      <c r="C782" t="n">
        <v>37.316</v>
      </c>
    </row>
    <row r="783">
      <c r="A783" t="inlineStr">
        <is>
          <t>2018-03-15</t>
        </is>
      </c>
      <c r="B783" t="n">
        <v>29.0357</v>
      </c>
      <c r="C783" t="n">
        <v>37.3099</v>
      </c>
    </row>
    <row r="784">
      <c r="A784" t="inlineStr">
        <is>
          <t>2018-03-16</t>
        </is>
      </c>
      <c r="B784" t="n">
        <v>28.9925</v>
      </c>
      <c r="C784" t="n">
        <v>37.2231</v>
      </c>
    </row>
    <row r="785">
      <c r="A785" t="inlineStr">
        <is>
          <t>2018-03-19</t>
        </is>
      </c>
      <c r="B785" t="n">
        <v>28.7854</v>
      </c>
      <c r="C785" t="n">
        <v>36.982</v>
      </c>
    </row>
    <row r="786">
      <c r="A786" t="inlineStr">
        <is>
          <t>2018-03-20</t>
        </is>
      </c>
      <c r="B786" t="n">
        <v>28.8125</v>
      </c>
      <c r="C786" t="n">
        <v>36.9577</v>
      </c>
    </row>
    <row r="787">
      <c r="A787" t="inlineStr">
        <is>
          <t>2018-03-21</t>
        </is>
      </c>
      <c r="B787" t="n">
        <v>28.8042</v>
      </c>
      <c r="C787" t="n">
        <v>36.9312</v>
      </c>
    </row>
    <row r="788">
      <c r="A788" t="inlineStr">
        <is>
          <t>2018-03-22</t>
        </is>
      </c>
      <c r="B788" t="n">
        <v>28.7996</v>
      </c>
      <c r="C788" t="n">
        <v>36.9063</v>
      </c>
    </row>
    <row r="789">
      <c r="A789" t="inlineStr">
        <is>
          <t>2018-03-23</t>
        </is>
      </c>
      <c r="B789" t="n">
        <v>28.7758</v>
      </c>
      <c r="C789" t="n">
        <v>36.8938</v>
      </c>
    </row>
    <row r="790">
      <c r="A790" t="inlineStr">
        <is>
          <t>2018-03-26</t>
        </is>
      </c>
      <c r="B790" t="n">
        <v>28.9047</v>
      </c>
      <c r="C790" t="n">
        <v>37.0796</v>
      </c>
    </row>
    <row r="791">
      <c r="A791" t="inlineStr">
        <is>
          <t>2018-03-27</t>
        </is>
      </c>
      <c r="B791" t="n">
        <v>28.9144</v>
      </c>
      <c r="C791" t="n">
        <v>37.0869</v>
      </c>
    </row>
    <row r="792">
      <c r="A792" t="inlineStr">
        <is>
          <t>2018-03-28</t>
        </is>
      </c>
      <c r="B792" t="n">
        <v>28.7309</v>
      </c>
      <c r="C792" t="n">
        <v>36.7729</v>
      </c>
    </row>
    <row r="793">
      <c r="A793" t="inlineStr">
        <is>
          <t>2018-03-29</t>
        </is>
      </c>
      <c r="B793" t="n">
        <v>28.4096</v>
      </c>
      <c r="C793" t="n">
        <v>36.3446</v>
      </c>
    </row>
    <row r="794">
      <c r="A794" t="inlineStr">
        <is>
          <t>2018-03-30</t>
        </is>
      </c>
      <c r="B794" t="n">
        <v>28.5735</v>
      </c>
      <c r="C794" t="n">
        <v>36.5812</v>
      </c>
    </row>
    <row r="795">
      <c r="A795" t="inlineStr">
        <is>
          <t>2018-04-02</t>
        </is>
      </c>
      <c r="B795" t="n">
        <v>28.6553</v>
      </c>
      <c r="C795" t="n">
        <v>36.684</v>
      </c>
    </row>
    <row r="796">
      <c r="A796" t="inlineStr">
        <is>
          <t>2018-04-03</t>
        </is>
      </c>
      <c r="B796" t="n">
        <v>28.4377</v>
      </c>
      <c r="C796" t="n">
        <v>36.3725</v>
      </c>
    </row>
    <row r="797">
      <c r="A797" t="inlineStr">
        <is>
          <t>2018-04-04</t>
        </is>
      </c>
      <c r="B797" t="n">
        <v>27.8703</v>
      </c>
      <c r="C797" t="n">
        <v>35.5354</v>
      </c>
    </row>
    <row r="798">
      <c r="A798" t="inlineStr">
        <is>
          <t>2018-04-05</t>
        </is>
      </c>
      <c r="B798" t="n">
        <v>28.1288</v>
      </c>
      <c r="C798" t="n">
        <v>35.8867</v>
      </c>
    </row>
    <row r="799">
      <c r="A799" t="inlineStr">
        <is>
          <t>2018-04-09</t>
        </is>
      </c>
      <c r="B799" t="n">
        <v>28.3633</v>
      </c>
      <c r="C799" t="n">
        <v>36.2554</v>
      </c>
    </row>
    <row r="800">
      <c r="A800" t="inlineStr">
        <is>
          <t>2018-04-10</t>
        </is>
      </c>
      <c r="B800" t="n">
        <v>28.5681</v>
      </c>
      <c r="C800" t="n">
        <v>36.447</v>
      </c>
    </row>
    <row r="801">
      <c r="A801" t="inlineStr">
        <is>
          <t>2018-04-11</t>
        </is>
      </c>
      <c r="B801" t="n">
        <v>28.5636</v>
      </c>
      <c r="C801" t="n">
        <v>36.4508</v>
      </c>
    </row>
    <row r="802">
      <c r="A802" t="inlineStr">
        <is>
          <t>2018-04-12</t>
        </is>
      </c>
      <c r="B802" t="n">
        <v>28.6168</v>
      </c>
      <c r="C802" t="n">
        <v>36.5226</v>
      </c>
    </row>
    <row r="803">
      <c r="A803" t="inlineStr">
        <is>
          <t>2018-04-17</t>
        </is>
      </c>
      <c r="B803" t="n">
        <v>28.4729</v>
      </c>
      <c r="C803" t="n">
        <v>36.2881</v>
      </c>
    </row>
    <row r="804">
      <c r="A804" t="inlineStr">
        <is>
          <t>2018-04-18</t>
        </is>
      </c>
      <c r="B804" t="n">
        <v>28.7715</v>
      </c>
      <c r="C804" t="n">
        <v>36.6838</v>
      </c>
    </row>
    <row r="805">
      <c r="A805" t="inlineStr">
        <is>
          <t>2018-04-19</t>
        </is>
      </c>
      <c r="B805" t="n">
        <v>29.2129</v>
      </c>
      <c r="C805" t="n">
        <v>37.2608</v>
      </c>
    </row>
    <row r="806">
      <c r="A806" t="inlineStr">
        <is>
          <t>2018-04-20</t>
        </is>
      </c>
      <c r="B806" t="n">
        <v>29.3018</v>
      </c>
      <c r="C806" t="n">
        <v>37.4523</v>
      </c>
    </row>
    <row r="807">
      <c r="A807" t="inlineStr">
        <is>
          <t>2018-04-23</t>
        </is>
      </c>
      <c r="B807" t="n">
        <v>29.1179</v>
      </c>
      <c r="C807" t="n">
        <v>37.1902</v>
      </c>
    </row>
    <row r="808">
      <c r="A808" t="inlineStr">
        <is>
          <t>2018-04-24</t>
        </is>
      </c>
      <c r="B808" t="n">
        <v>29.0662</v>
      </c>
      <c r="C808" t="n">
        <v>37.1293</v>
      </c>
    </row>
    <row r="809">
      <c r="A809" t="inlineStr">
        <is>
          <t>2018-04-25</t>
        </is>
      </c>
      <c r="B809" t="n">
        <v>28.9125</v>
      </c>
      <c r="C809" t="n">
        <v>36.9194</v>
      </c>
    </row>
    <row r="810">
      <c r="A810" t="inlineStr">
        <is>
          <t>2018-04-26</t>
        </is>
      </c>
      <c r="B810" t="n">
        <v>28.851</v>
      </c>
      <c r="C810" t="n">
        <v>36.7738</v>
      </c>
    </row>
    <row r="811">
      <c r="A811" t="inlineStr">
        <is>
          <t>2018-04-27</t>
        </is>
      </c>
      <c r="B811" t="n">
        <v>29.06</v>
      </c>
      <c r="C811" t="n">
        <v>36.9959</v>
      </c>
    </row>
    <row r="812">
      <c r="A812" t="inlineStr">
        <is>
          <t>2018-04-30</t>
        </is>
      </c>
      <c r="B812" t="n">
        <v>29.054</v>
      </c>
      <c r="C812" t="n">
        <v>36.9769</v>
      </c>
    </row>
    <row r="813">
      <c r="A813" t="inlineStr">
        <is>
          <t>2018-05-02</t>
        </is>
      </c>
      <c r="B813" t="n">
        <v>29.2928</v>
      </c>
      <c r="C813" t="n">
        <v>37.2737</v>
      </c>
    </row>
    <row r="814">
      <c r="A814" t="inlineStr">
        <is>
          <t>2018-05-03</t>
        </is>
      </c>
      <c r="B814" t="n">
        <v>29.2484</v>
      </c>
      <c r="C814" t="n">
        <v>37.2313</v>
      </c>
    </row>
    <row r="815">
      <c r="A815" t="inlineStr">
        <is>
          <t>2018-05-04</t>
        </is>
      </c>
      <c r="B815" t="n">
        <v>29.0148</v>
      </c>
      <c r="C815" t="n">
        <v>36.959</v>
      </c>
    </row>
    <row r="816">
      <c r="A816" t="inlineStr">
        <is>
          <t>2018-05-07</t>
        </is>
      </c>
      <c r="B816" t="n">
        <v>29.0714</v>
      </c>
      <c r="C816" t="n">
        <v>37.0064</v>
      </c>
    </row>
    <row r="817">
      <c r="A817" t="inlineStr">
        <is>
          <t>2018-05-08</t>
        </is>
      </c>
      <c r="B817" t="n">
        <v>28.7854</v>
      </c>
      <c r="C817" t="n">
        <v>36.5562</v>
      </c>
    </row>
    <row r="818">
      <c r="A818" t="inlineStr">
        <is>
          <t>2018-05-09</t>
        </is>
      </c>
      <c r="B818" t="n">
        <v>28.7605</v>
      </c>
      <c r="C818" t="n">
        <v>36.4887</v>
      </c>
    </row>
    <row r="819">
      <c r="A819" t="inlineStr">
        <is>
          <t>2018-05-10</t>
        </is>
      </c>
      <c r="B819" t="n">
        <v>28.6195</v>
      </c>
      <c r="C819" t="n">
        <v>36.3105</v>
      </c>
    </row>
    <row r="820">
      <c r="A820" t="inlineStr">
        <is>
          <t>2018-05-11</t>
        </is>
      </c>
      <c r="B820" t="n">
        <v>28.9656</v>
      </c>
      <c r="C820" t="n">
        <v>36.7697</v>
      </c>
    </row>
    <row r="821">
      <c r="A821" t="inlineStr">
        <is>
          <t>2018-05-14</t>
        </is>
      </c>
      <c r="B821" t="n">
        <v>27.9056</v>
      </c>
      <c r="C821" t="n">
        <v>36.9013</v>
      </c>
    </row>
    <row r="822">
      <c r="A822" t="inlineStr">
        <is>
          <t>2018-05-15</t>
        </is>
      </c>
      <c r="B822" t="n">
        <v>27.8234</v>
      </c>
      <c r="C822" t="n">
        <v>36.7861</v>
      </c>
    </row>
    <row r="823">
      <c r="A823" t="inlineStr">
        <is>
          <t>2018-05-16</t>
        </is>
      </c>
      <c r="B823" t="n">
        <v>27.6281</v>
      </c>
      <c r="C823" t="n">
        <v>36.415</v>
      </c>
    </row>
    <row r="824">
      <c r="A824" t="inlineStr">
        <is>
          <t>2018-05-17</t>
        </is>
      </c>
      <c r="B824" t="n">
        <v>27.6299</v>
      </c>
      <c r="C824" t="n">
        <v>36.4802</v>
      </c>
    </row>
    <row r="825">
      <c r="A825" t="inlineStr">
        <is>
          <t>2018-05-18</t>
        </is>
      </c>
      <c r="B825" t="n">
        <v>27.6486</v>
      </c>
      <c r="C825" t="n">
        <v>36.5561</v>
      </c>
    </row>
    <row r="826">
      <c r="A826" t="inlineStr">
        <is>
          <t>2018-05-21</t>
        </is>
      </c>
      <c r="B826" t="n">
        <v>27.8903</v>
      </c>
      <c r="C826" t="n">
        <v>36.8581</v>
      </c>
    </row>
    <row r="827">
      <c r="A827" t="inlineStr">
        <is>
          <t>2018-05-22</t>
        </is>
      </c>
      <c r="B827" t="n">
        <v>27.7563</v>
      </c>
      <c r="C827" t="n">
        <v>36.6691</v>
      </c>
    </row>
    <row r="828">
      <c r="A828" t="inlineStr">
        <is>
          <t>2018-05-23</t>
        </is>
      </c>
      <c r="B828" t="n">
        <v>27.5305</v>
      </c>
      <c r="C828" t="n">
        <v>36.3927</v>
      </c>
    </row>
    <row r="829">
      <c r="A829" t="inlineStr">
        <is>
          <t>2018-05-24</t>
        </is>
      </c>
      <c r="B829" t="n">
        <v>27.1506</v>
      </c>
      <c r="C829" t="n">
        <v>35.8834</v>
      </c>
    </row>
    <row r="830">
      <c r="A830" t="inlineStr">
        <is>
          <t>2018-05-25</t>
        </is>
      </c>
      <c r="B830" t="n">
        <v>27.3322</v>
      </c>
      <c r="C830" t="n">
        <v>36.122</v>
      </c>
    </row>
    <row r="831">
      <c r="A831" t="inlineStr">
        <is>
          <t>2018-05-28</t>
        </is>
      </c>
      <c r="B831" t="n">
        <v>27.1696</v>
      </c>
      <c r="C831" t="n">
        <v>35.9106</v>
      </c>
    </row>
    <row r="832">
      <c r="A832" t="inlineStr">
        <is>
          <t>2018-05-30</t>
        </is>
      </c>
      <c r="B832" t="n">
        <v>27.0181</v>
      </c>
      <c r="C832" t="n">
        <v>35.6711</v>
      </c>
    </row>
    <row r="833">
      <c r="A833" t="inlineStr">
        <is>
          <t>2018-05-31</t>
        </is>
      </c>
      <c r="B833" t="n">
        <v>27.0508</v>
      </c>
      <c r="C833" t="n">
        <v>35.7247</v>
      </c>
    </row>
    <row r="834">
      <c r="A834" t="inlineStr">
        <is>
          <t>2018-06-01</t>
        </is>
      </c>
      <c r="B834" t="n">
        <v>27.0105</v>
      </c>
      <c r="C834" t="n">
        <v>35.5635</v>
      </c>
    </row>
    <row r="835">
      <c r="A835" t="inlineStr">
        <is>
          <t>2018-06-04</t>
        </is>
      </c>
      <c r="B835" t="n">
        <v>27.0958</v>
      </c>
      <c r="C835" t="n">
        <v>35.6294</v>
      </c>
    </row>
    <row r="836">
      <c r="A836" t="inlineStr">
        <is>
          <t>2018-06-05</t>
        </is>
      </c>
      <c r="B836" t="n">
        <v>27.3991</v>
      </c>
      <c r="C836" t="n">
        <v>35.9265</v>
      </c>
    </row>
    <row r="837">
      <c r="A837" t="inlineStr">
        <is>
          <t>2018-06-06</t>
        </is>
      </c>
      <c r="B837" t="n">
        <v>27.5013</v>
      </c>
      <c r="C837" t="n">
        <v>36.0703</v>
      </c>
    </row>
    <row r="838">
      <c r="A838" t="inlineStr">
        <is>
          <t>2018-06-07</t>
        </is>
      </c>
      <c r="B838" t="n">
        <v>27.4237</v>
      </c>
      <c r="C838" t="n">
        <v>35.9164</v>
      </c>
    </row>
    <row r="839">
      <c r="A839" t="inlineStr">
        <is>
          <t>2018-06-08</t>
        </is>
      </c>
      <c r="B839" t="n">
        <v>27.1808</v>
      </c>
      <c r="C839" t="n">
        <v>35.5959</v>
      </c>
    </row>
    <row r="840">
      <c r="A840" t="inlineStr">
        <is>
          <t>2018-06-11</t>
        </is>
      </c>
      <c r="B840" t="n">
        <v>27.2059</v>
      </c>
      <c r="C840" t="n">
        <v>35.6226</v>
      </c>
    </row>
    <row r="841">
      <c r="A841" t="inlineStr">
        <is>
          <t>2018-06-12</t>
        </is>
      </c>
      <c r="B841" t="n">
        <v>27.2866</v>
      </c>
      <c r="C841" t="n">
        <v>35.7247</v>
      </c>
    </row>
    <row r="842">
      <c r="A842" t="inlineStr">
        <is>
          <t>2018-06-13</t>
        </is>
      </c>
      <c r="B842" t="n">
        <v>27.1148</v>
      </c>
      <c r="C842" t="n">
        <v>35.5221</v>
      </c>
    </row>
    <row r="843">
      <c r="A843" t="inlineStr">
        <is>
          <t>2018-06-14</t>
        </is>
      </c>
      <c r="B843" t="n">
        <v>26.9231</v>
      </c>
      <c r="C843" t="n">
        <v>35.3079</v>
      </c>
    </row>
    <row r="844">
      <c r="A844" t="inlineStr">
        <is>
          <t>2018-06-15</t>
        </is>
      </c>
      <c r="B844" t="n">
        <v>26.8186</v>
      </c>
      <c r="C844" t="n">
        <v>35.1877</v>
      </c>
    </row>
    <row r="845">
      <c r="A845" t="inlineStr">
        <is>
          <t>2018-06-18</t>
        </is>
      </c>
      <c r="B845" t="n">
        <v>26.4789</v>
      </c>
      <c r="C845" t="n">
        <v>34.6371</v>
      </c>
    </row>
    <row r="846">
      <c r="A846" t="inlineStr">
        <is>
          <t>2018-06-19</t>
        </is>
      </c>
      <c r="B846" t="n">
        <v>26.0119</v>
      </c>
      <c r="C846" t="n">
        <v>33.75</v>
      </c>
    </row>
    <row r="847">
      <c r="A847" t="inlineStr">
        <is>
          <t>2018-06-20</t>
        </is>
      </c>
      <c r="B847" t="n">
        <v>26.4238</v>
      </c>
      <c r="C847" t="n">
        <v>34.3321</v>
      </c>
    </row>
    <row r="848">
      <c r="A848" t="inlineStr">
        <is>
          <t>2018-06-21</t>
        </is>
      </c>
      <c r="B848" t="n">
        <v>25.8596</v>
      </c>
      <c r="C848" t="n">
        <v>33.6459</v>
      </c>
    </row>
    <row r="849">
      <c r="A849" t="inlineStr">
        <is>
          <t>2018-06-22</t>
        </is>
      </c>
      <c r="B849" t="n">
        <v>25.9378</v>
      </c>
      <c r="C849" t="n">
        <v>33.7233</v>
      </c>
    </row>
    <row r="850">
      <c r="A850" t="inlineStr">
        <is>
          <t>2018-06-25</t>
        </is>
      </c>
      <c r="B850" t="n">
        <v>25.7182</v>
      </c>
      <c r="C850" t="n">
        <v>33.4253</v>
      </c>
    </row>
    <row r="851">
      <c r="A851" t="inlineStr">
        <is>
          <t>2018-06-26</t>
        </is>
      </c>
      <c r="B851" t="n">
        <v>25.7957</v>
      </c>
      <c r="C851" t="n">
        <v>33.5348</v>
      </c>
    </row>
    <row r="852">
      <c r="A852" t="inlineStr">
        <is>
          <t>2018-06-27</t>
        </is>
      </c>
      <c r="B852" t="n">
        <v>25.715</v>
      </c>
      <c r="C852" t="n">
        <v>33.3895</v>
      </c>
    </row>
    <row r="853">
      <c r="A853" t="inlineStr">
        <is>
          <t>2018-06-28</t>
        </is>
      </c>
      <c r="B853" t="n">
        <v>25.4615</v>
      </c>
      <c r="C853" t="n">
        <v>33.0852</v>
      </c>
    </row>
    <row r="854">
      <c r="A854" t="inlineStr">
        <is>
          <t>2018-06-29</t>
        </is>
      </c>
      <c r="B854" t="n">
        <v>25.5047</v>
      </c>
      <c r="C854" t="n">
        <v>33.1246</v>
      </c>
    </row>
    <row r="855">
      <c r="A855" t="inlineStr">
        <is>
          <t>2018-07-02</t>
        </is>
      </c>
      <c r="B855" t="n">
        <v>25.679</v>
      </c>
      <c r="C855" t="n">
        <v>33.3272</v>
      </c>
    </row>
    <row r="856">
      <c r="A856" t="inlineStr">
        <is>
          <t>2018-07-03</t>
        </is>
      </c>
      <c r="B856" t="n">
        <v>25.9756</v>
      </c>
      <c r="C856" t="n">
        <v>33.6947</v>
      </c>
    </row>
    <row r="857">
      <c r="A857" t="inlineStr">
        <is>
          <t>2018-07-04</t>
        </is>
      </c>
      <c r="B857" t="n">
        <v>26.0361</v>
      </c>
      <c r="C857" t="n">
        <v>33.8011</v>
      </c>
    </row>
    <row r="858">
      <c r="A858" t="inlineStr">
        <is>
          <t>2018-07-05</t>
        </is>
      </c>
      <c r="B858" t="n">
        <v>25.5627</v>
      </c>
      <c r="C858" t="n">
        <v>33.2249</v>
      </c>
    </row>
    <row r="859">
      <c r="A859" t="inlineStr">
        <is>
          <t>2018-07-06</t>
        </is>
      </c>
      <c r="B859" t="n">
        <v>25.8159</v>
      </c>
      <c r="C859" t="n">
        <v>33.5113</v>
      </c>
    </row>
    <row r="860">
      <c r="A860" t="inlineStr">
        <is>
          <t>2018-07-09</t>
        </is>
      </c>
      <c r="B860" t="n">
        <v>25.9645</v>
      </c>
      <c r="C860" t="n">
        <v>33.7013</v>
      </c>
    </row>
    <row r="861">
      <c r="A861" t="inlineStr">
        <is>
          <t>2018-07-10</t>
        </is>
      </c>
      <c r="B861" t="n">
        <v>26.364</v>
      </c>
      <c r="C861" t="n">
        <v>34.1888</v>
      </c>
    </row>
    <row r="862">
      <c r="A862" t="inlineStr">
        <is>
          <t>2018-07-11</t>
        </is>
      </c>
      <c r="B862" t="n">
        <v>26.2024</v>
      </c>
      <c r="C862" t="n">
        <v>33.9827</v>
      </c>
    </row>
    <row r="863">
      <c r="A863" t="inlineStr">
        <is>
          <t>2018-07-12</t>
        </is>
      </c>
      <c r="B863" t="n">
        <v>26.2401</v>
      </c>
      <c r="C863" t="n">
        <v>34.0154</v>
      </c>
    </row>
    <row r="864">
      <c r="A864" t="inlineStr">
        <is>
          <t>2018-07-13</t>
        </is>
      </c>
      <c r="B864" t="n">
        <v>26.2744</v>
      </c>
      <c r="C864" t="n">
        <v>34.0195</v>
      </c>
    </row>
    <row r="865">
      <c r="A865" t="inlineStr">
        <is>
          <t>2018-07-16</t>
        </is>
      </c>
      <c r="B865" t="n">
        <v>26.0608</v>
      </c>
      <c r="C865" t="n">
        <v>33.674</v>
      </c>
    </row>
    <row r="866">
      <c r="A866" t="inlineStr">
        <is>
          <t>2018-07-17</t>
        </is>
      </c>
      <c r="B866" t="n">
        <v>26.0009</v>
      </c>
      <c r="C866" t="n">
        <v>33.6417</v>
      </c>
    </row>
    <row r="867">
      <c r="A867" t="inlineStr">
        <is>
          <t>2018-07-18</t>
        </is>
      </c>
      <c r="B867" t="n">
        <v>26.2073</v>
      </c>
      <c r="C867" t="n">
        <v>33.9259</v>
      </c>
    </row>
    <row r="868">
      <c r="A868" t="inlineStr">
        <is>
          <t>2018-07-19</t>
        </is>
      </c>
      <c r="B868" t="n">
        <v>26.408</v>
      </c>
      <c r="C868" t="n">
        <v>34.1649</v>
      </c>
    </row>
    <row r="869">
      <c r="A869" t="inlineStr">
        <is>
          <t>2018-07-20</t>
        </is>
      </c>
      <c r="B869" t="n">
        <v>26.8866</v>
      </c>
      <c r="C869" t="n">
        <v>34.7401</v>
      </c>
    </row>
    <row r="870">
      <c r="A870" t="inlineStr">
        <is>
          <t>2018-07-23</t>
        </is>
      </c>
      <c r="B870" t="n">
        <v>26.9912</v>
      </c>
      <c r="C870" t="n">
        <v>34.8687</v>
      </c>
    </row>
    <row r="871">
      <c r="A871" t="inlineStr">
        <is>
          <t>2018-07-24</t>
        </is>
      </c>
      <c r="B871" t="n">
        <v>27.0049</v>
      </c>
      <c r="C871" t="n">
        <v>34.824</v>
      </c>
    </row>
    <row r="872">
      <c r="A872" t="inlineStr">
        <is>
          <t>2018-07-25</t>
        </is>
      </c>
      <c r="B872" t="n">
        <v>27.3011</v>
      </c>
      <c r="C872" t="n">
        <v>35.1922</v>
      </c>
    </row>
    <row r="873">
      <c r="A873" t="inlineStr">
        <is>
          <t>2018-07-26</t>
        </is>
      </c>
      <c r="B873" t="n">
        <v>27.516</v>
      </c>
      <c r="C873" t="n">
        <v>35.4547</v>
      </c>
    </row>
    <row r="874">
      <c r="A874" t="inlineStr">
        <is>
          <t>2018-07-31</t>
        </is>
      </c>
      <c r="B874" t="n">
        <v>27.5563</v>
      </c>
      <c r="C874" t="n">
        <v>35.498</v>
      </c>
    </row>
    <row r="875">
      <c r="A875" t="inlineStr">
        <is>
          <t>2018-08-01</t>
        </is>
      </c>
      <c r="B875" t="n">
        <v>27.9343</v>
      </c>
      <c r="C875" t="n">
        <v>36.0029</v>
      </c>
    </row>
    <row r="876">
      <c r="A876" t="inlineStr">
        <is>
          <t>2018-08-02</t>
        </is>
      </c>
      <c r="B876" t="n">
        <v>27.6717</v>
      </c>
      <c r="C876" t="n">
        <v>35.6597</v>
      </c>
    </row>
    <row r="877">
      <c r="A877" t="inlineStr">
        <is>
          <t>2018-08-03</t>
        </is>
      </c>
      <c r="B877" t="n">
        <v>27.7007</v>
      </c>
      <c r="C877" t="n">
        <v>35.7002</v>
      </c>
    </row>
    <row r="878">
      <c r="A878" t="inlineStr">
        <is>
          <t>2018-08-06</t>
        </is>
      </c>
      <c r="B878" t="n">
        <v>27.4339</v>
      </c>
      <c r="C878" t="n">
        <v>35.357</v>
      </c>
    </row>
    <row r="879">
      <c r="A879" t="inlineStr">
        <is>
          <t>2018-08-07</t>
        </is>
      </c>
      <c r="B879" t="n">
        <v>27.6211</v>
      </c>
      <c r="C879" t="n">
        <v>35.6163</v>
      </c>
    </row>
    <row r="880">
      <c r="A880" t="inlineStr">
        <is>
          <t>2018-08-08</t>
        </is>
      </c>
      <c r="B880" t="n">
        <v>27.9331</v>
      </c>
      <c r="C880" t="n">
        <v>35.9917</v>
      </c>
    </row>
    <row r="881">
      <c r="A881" t="inlineStr">
        <is>
          <t>2018-08-09</t>
        </is>
      </c>
      <c r="B881" t="n">
        <v>27.9244</v>
      </c>
      <c r="C881" t="n">
        <v>35.9878</v>
      </c>
    </row>
    <row r="882">
      <c r="A882" t="inlineStr">
        <is>
          <t>2018-08-10</t>
        </is>
      </c>
      <c r="B882" t="n">
        <v>27.5856</v>
      </c>
      <c r="C882" t="n">
        <v>35.5789</v>
      </c>
    </row>
    <row r="883">
      <c r="A883" t="inlineStr">
        <is>
          <t>2018-08-14</t>
        </is>
      </c>
      <c r="B883" t="n">
        <v>27.4412</v>
      </c>
      <c r="C883" t="n">
        <v>35.3773</v>
      </c>
    </row>
    <row r="884">
      <c r="A884" t="inlineStr">
        <is>
          <t>2018-08-15</t>
        </is>
      </c>
      <c r="B884" t="n">
        <v>27.1193</v>
      </c>
      <c r="C884" t="n">
        <v>34.9542</v>
      </c>
    </row>
    <row r="885">
      <c r="A885" t="inlineStr">
        <is>
          <t>2018-08-16</t>
        </is>
      </c>
      <c r="B885" t="n">
        <v>27.2193</v>
      </c>
      <c r="C885" t="n">
        <v>35.0648</v>
      </c>
    </row>
    <row r="886">
      <c r="A886" t="inlineStr">
        <is>
          <t>2018-08-17</t>
        </is>
      </c>
      <c r="B886" t="n">
        <v>27.3638</v>
      </c>
      <c r="C886" t="n">
        <v>35.2387</v>
      </c>
    </row>
    <row r="887">
      <c r="A887" t="inlineStr">
        <is>
          <t>2018-08-20</t>
        </is>
      </c>
      <c r="B887" t="n">
        <v>27.5998</v>
      </c>
      <c r="C887" t="n">
        <v>35.5384</v>
      </c>
    </row>
    <row r="888">
      <c r="A888" t="inlineStr">
        <is>
          <t>2018-08-21</t>
        </is>
      </c>
      <c r="B888" t="n">
        <v>27.4939</v>
      </c>
      <c r="C888" t="n">
        <v>35.3828</v>
      </c>
    </row>
    <row r="889">
      <c r="A889" t="inlineStr">
        <is>
          <t>2018-08-22</t>
        </is>
      </c>
      <c r="B889" t="n">
        <v>27.5725</v>
      </c>
      <c r="C889" t="n">
        <v>35.5002</v>
      </c>
    </row>
    <row r="890">
      <c r="A890" t="inlineStr">
        <is>
          <t>2018-08-23</t>
        </is>
      </c>
      <c r="B890" t="n">
        <v>27.7133</v>
      </c>
      <c r="C890" t="n">
        <v>35.6695</v>
      </c>
    </row>
    <row r="891">
      <c r="A891" t="inlineStr">
        <is>
          <t>2018-08-24</t>
        </is>
      </c>
      <c r="B891" t="n">
        <v>27.6715</v>
      </c>
      <c r="C891" t="n">
        <v>35.6166</v>
      </c>
    </row>
    <row r="892">
      <c r="A892" t="inlineStr">
        <is>
          <t>2018-08-27</t>
        </is>
      </c>
      <c r="B892" t="n">
        <v>27.925</v>
      </c>
      <c r="C892" t="n">
        <v>35.9306</v>
      </c>
    </row>
    <row r="893">
      <c r="A893" t="inlineStr">
        <is>
          <t>2018-08-28</t>
        </is>
      </c>
      <c r="B893" t="n">
        <v>27.973</v>
      </c>
      <c r="C893" t="n">
        <v>36.003</v>
      </c>
    </row>
    <row r="894">
      <c r="A894" t="inlineStr">
        <is>
          <t>2018-08-29</t>
        </is>
      </c>
      <c r="B894" t="n">
        <v>28.0629</v>
      </c>
      <c r="C894" t="n">
        <v>36.0968</v>
      </c>
    </row>
    <row r="895">
      <c r="A895" t="inlineStr">
        <is>
          <t>2018-08-30</t>
        </is>
      </c>
      <c r="B895" t="n">
        <v>27.9509</v>
      </c>
      <c r="C895" t="n">
        <v>35.9647</v>
      </c>
    </row>
    <row r="896">
      <c r="A896" t="inlineStr">
        <is>
          <t>2018-08-31</t>
        </is>
      </c>
      <c r="B896" t="n">
        <v>27.9729</v>
      </c>
      <c r="C896" t="n">
        <v>36.0177</v>
      </c>
    </row>
    <row r="897">
      <c r="A897" t="inlineStr">
        <is>
          <t>2018-09-03</t>
        </is>
      </c>
      <c r="B897" t="n">
        <v>27.95</v>
      </c>
      <c r="C897" t="n">
        <v>35.9808</v>
      </c>
    </row>
    <row r="898">
      <c r="A898" t="inlineStr">
        <is>
          <t>2018-09-04</t>
        </is>
      </c>
      <c r="B898" t="n">
        <v>27.8057</v>
      </c>
      <c r="C898" t="n">
        <v>35.8032</v>
      </c>
    </row>
    <row r="899">
      <c r="A899" t="inlineStr">
        <is>
          <t>2018-09-05</t>
        </is>
      </c>
      <c r="B899" t="n">
        <v>27.3352</v>
      </c>
      <c r="C899" t="n">
        <v>35.1854</v>
      </c>
    </row>
    <row r="900">
      <c r="A900" t="inlineStr">
        <is>
          <t>2018-09-06</t>
        </is>
      </c>
      <c r="B900" t="n">
        <v>27.4715</v>
      </c>
      <c r="C900" t="n">
        <v>35.3504</v>
      </c>
    </row>
    <row r="901">
      <c r="A901" t="inlineStr">
        <is>
          <t>2018-09-07</t>
        </is>
      </c>
      <c r="B901" t="n">
        <v>27.3828</v>
      </c>
      <c r="C901" t="n">
        <v>35.2222</v>
      </c>
    </row>
    <row r="902">
      <c r="A902" t="inlineStr">
        <is>
          <t>2018-09-10</t>
        </is>
      </c>
      <c r="B902" t="n">
        <v>27.4088</v>
      </c>
      <c r="C902" t="n">
        <v>35.2504</v>
      </c>
    </row>
    <row r="903">
      <c r="A903" t="inlineStr">
        <is>
          <t>2018-09-11</t>
        </is>
      </c>
      <c r="B903" t="n">
        <v>27.0084</v>
      </c>
      <c r="C903" t="n">
        <v>34.7274</v>
      </c>
    </row>
    <row r="904">
      <c r="A904" t="inlineStr">
        <is>
          <t>2018-09-12</t>
        </is>
      </c>
      <c r="B904" t="n">
        <v>27.161</v>
      </c>
      <c r="C904" t="n">
        <v>34.9243</v>
      </c>
    </row>
    <row r="905">
      <c r="A905" t="inlineStr">
        <is>
          <t>2018-09-13</t>
        </is>
      </c>
      <c r="B905" t="n">
        <v>27.9268</v>
      </c>
      <c r="C905" t="n">
        <v>35.921</v>
      </c>
    </row>
    <row r="906">
      <c r="A906" t="inlineStr">
        <is>
          <t>2018-09-14</t>
        </is>
      </c>
      <c r="B906" t="n">
        <v>27.9893</v>
      </c>
      <c r="C906" t="n">
        <v>36.0002</v>
      </c>
    </row>
    <row r="907">
      <c r="A907" t="inlineStr">
        <is>
          <t>2018-09-17</t>
        </is>
      </c>
      <c r="B907" t="n">
        <v>27.9127</v>
      </c>
      <c r="C907" t="n">
        <v>35.8714</v>
      </c>
    </row>
    <row r="908">
      <c r="A908" t="inlineStr">
        <is>
          <t>2018-09-18</t>
        </is>
      </c>
      <c r="B908" t="n">
        <v>28.3282</v>
      </c>
      <c r="C908" t="n">
        <v>36.4888</v>
      </c>
    </row>
    <row r="909">
      <c r="A909" t="inlineStr">
        <is>
          <t>2018-09-19</t>
        </is>
      </c>
      <c r="B909" t="n">
        <v>28.4495</v>
      </c>
      <c r="C909" t="n">
        <v>36.6066</v>
      </c>
    </row>
    <row r="910">
      <c r="A910" t="inlineStr">
        <is>
          <t>2018-09-20</t>
        </is>
      </c>
      <c r="B910" t="n">
        <v>28.5249</v>
      </c>
      <c r="C910" t="n">
        <v>36.6661</v>
      </c>
    </row>
    <row r="911">
      <c r="A911" t="inlineStr">
        <is>
          <t>2018-09-21</t>
        </is>
      </c>
      <c r="B911" t="n">
        <v>28.561</v>
      </c>
      <c r="C911" t="n">
        <v>36.7359</v>
      </c>
    </row>
    <row r="912">
      <c r="A912" t="inlineStr">
        <is>
          <t>2018-09-24</t>
        </is>
      </c>
      <c r="B912" t="n">
        <v>28.4458</v>
      </c>
      <c r="C912" t="n">
        <v>36.578</v>
      </c>
    </row>
    <row r="913">
      <c r="A913" t="inlineStr">
        <is>
          <t>2018-09-25</t>
        </is>
      </c>
      <c r="B913" t="n">
        <v>28.5075</v>
      </c>
      <c r="C913" t="n">
        <v>36.6275</v>
      </c>
    </row>
    <row r="914">
      <c r="A914" t="inlineStr">
        <is>
          <t>2018-09-26</t>
        </is>
      </c>
      <c r="B914" t="n">
        <v>28.4865</v>
      </c>
      <c r="C914" t="n">
        <v>36.6094</v>
      </c>
    </row>
    <row r="915">
      <c r="A915" t="inlineStr">
        <is>
          <t>2018-09-27</t>
        </is>
      </c>
      <c r="B915" t="n">
        <v>28.5489</v>
      </c>
      <c r="C915" t="n">
        <v>36.7004</v>
      </c>
    </row>
    <row r="916">
      <c r="A916" t="inlineStr">
        <is>
          <t>2018-09-28</t>
        </is>
      </c>
      <c r="B916" t="n">
        <v>28.5639</v>
      </c>
      <c r="C916" t="n">
        <v>36.7052</v>
      </c>
    </row>
    <row r="917">
      <c r="A917" t="inlineStr">
        <is>
          <t>2018-10-01</t>
        </is>
      </c>
      <c r="B917" t="n">
        <v>28.5964</v>
      </c>
      <c r="C917" t="n">
        <v>36.7821</v>
      </c>
    </row>
    <row r="918">
      <c r="A918" t="inlineStr">
        <is>
          <t>2018-10-02</t>
        </is>
      </c>
      <c r="B918" t="n">
        <v>28.357</v>
      </c>
      <c r="C918" t="n">
        <v>36.4571</v>
      </c>
    </row>
    <row r="919">
      <c r="A919" t="inlineStr">
        <is>
          <t>2018-10-03</t>
        </is>
      </c>
      <c r="B919" t="n">
        <v>28.2663</v>
      </c>
      <c r="C919" t="n">
        <v>36.3568</v>
      </c>
    </row>
    <row r="920">
      <c r="A920" t="inlineStr">
        <is>
          <t>2018-10-04</t>
        </is>
      </c>
      <c r="B920" t="n">
        <v>28.0244</v>
      </c>
      <c r="C920" t="n">
        <v>36.0511</v>
      </c>
    </row>
    <row r="921">
      <c r="A921" t="inlineStr">
        <is>
          <t>2018-10-05</t>
        </is>
      </c>
      <c r="B921" t="n">
        <v>27.8781</v>
      </c>
      <c r="C921" t="n">
        <v>35.8341</v>
      </c>
    </row>
    <row r="922">
      <c r="A922" t="inlineStr">
        <is>
          <t>2018-10-08</t>
        </is>
      </c>
      <c r="B922" t="n">
        <v>27.4981</v>
      </c>
      <c r="C922" t="n">
        <v>35.3291</v>
      </c>
    </row>
    <row r="923">
      <c r="A923" t="inlineStr">
        <is>
          <t>2018-10-09</t>
        </is>
      </c>
      <c r="B923" t="n">
        <v>27.5263</v>
      </c>
      <c r="C923" t="n">
        <v>35.3739</v>
      </c>
    </row>
    <row r="924">
      <c r="A924" t="inlineStr">
        <is>
          <t>2018-10-10</t>
        </is>
      </c>
      <c r="B924" t="n">
        <v>27.937</v>
      </c>
      <c r="C924" t="n">
        <v>35.947</v>
      </c>
    </row>
    <row r="925">
      <c r="A925" t="inlineStr">
        <is>
          <t>2018-10-11</t>
        </is>
      </c>
      <c r="B925" t="n">
        <v>27.344</v>
      </c>
      <c r="C925" t="n">
        <v>35.0985</v>
      </c>
    </row>
    <row r="926">
      <c r="A926" t="inlineStr">
        <is>
          <t>2018-10-12</t>
        </is>
      </c>
      <c r="B926" t="n">
        <v>27.5202</v>
      </c>
      <c r="C926" t="n">
        <v>35.3792</v>
      </c>
    </row>
    <row r="927">
      <c r="A927" t="inlineStr">
        <is>
          <t>2018-10-16</t>
        </is>
      </c>
      <c r="B927" t="n">
        <v>27.5258</v>
      </c>
      <c r="C927" t="n">
        <v>35.3968</v>
      </c>
    </row>
    <row r="928">
      <c r="A928" t="inlineStr">
        <is>
          <t>2018-10-17</t>
        </is>
      </c>
      <c r="B928" t="n">
        <v>27.4904</v>
      </c>
      <c r="C928" t="n">
        <v>35.3571</v>
      </c>
    </row>
    <row r="929">
      <c r="A929" t="inlineStr">
        <is>
          <t>2018-10-18</t>
        </is>
      </c>
      <c r="B929" t="n">
        <v>27.2922</v>
      </c>
      <c r="C929" t="n">
        <v>35.1032</v>
      </c>
    </row>
    <row r="930">
      <c r="A930" t="inlineStr">
        <is>
          <t>2018-10-19</t>
        </is>
      </c>
      <c r="B930" t="n">
        <v>27.0529</v>
      </c>
      <c r="C930" t="n">
        <v>34.7951</v>
      </c>
    </row>
    <row r="931">
      <c r="A931" t="inlineStr">
        <is>
          <t>2018-10-22</t>
        </is>
      </c>
      <c r="B931" t="n">
        <v>26.9847</v>
      </c>
      <c r="C931" t="n">
        <v>34.6975</v>
      </c>
    </row>
    <row r="932">
      <c r="A932" t="inlineStr">
        <is>
          <t>2018-10-24</t>
        </is>
      </c>
      <c r="B932" t="n">
        <v>26.3696</v>
      </c>
      <c r="C932" t="n">
        <v>33.8774</v>
      </c>
    </row>
    <row r="933">
      <c r="A933" t="inlineStr">
        <is>
          <t>2018-10-25</t>
        </is>
      </c>
      <c r="B933" t="n">
        <v>26.7816</v>
      </c>
      <c r="C933" t="n">
        <v>34.3927</v>
      </c>
    </row>
    <row r="934">
      <c r="A934" t="inlineStr">
        <is>
          <t>2018-10-26</t>
        </is>
      </c>
      <c r="B934" t="n">
        <v>26.4626</v>
      </c>
      <c r="C934" t="n">
        <v>33.9755</v>
      </c>
    </row>
    <row r="935">
      <c r="A935" t="inlineStr">
        <is>
          <t>2018-10-29</t>
        </is>
      </c>
      <c r="B935" t="n">
        <v>26.6326</v>
      </c>
      <c r="C935" t="n">
        <v>34.2003</v>
      </c>
    </row>
    <row r="936">
      <c r="A936" t="inlineStr">
        <is>
          <t>2018-10-30</t>
        </is>
      </c>
      <c r="B936" t="n">
        <v>26.6499</v>
      </c>
      <c r="C936" t="n">
        <v>34.2228</v>
      </c>
    </row>
    <row r="937">
      <c r="A937" t="inlineStr">
        <is>
          <t>2018-10-31</t>
        </is>
      </c>
      <c r="B937" t="n">
        <v>27.2503</v>
      </c>
      <c r="C937" t="n">
        <v>34.9894</v>
      </c>
    </row>
    <row r="938">
      <c r="A938" t="inlineStr">
        <is>
          <t>2018-11-01</t>
        </is>
      </c>
      <c r="B938" t="n">
        <v>27.1783</v>
      </c>
      <c r="C938" t="n">
        <v>34.9004</v>
      </c>
    </row>
    <row r="939">
      <c r="A939" t="inlineStr">
        <is>
          <t>2018-11-02</t>
        </is>
      </c>
      <c r="B939" t="n">
        <v>27.4</v>
      </c>
      <c r="C939" t="n">
        <v>35.2193</v>
      </c>
    </row>
    <row r="940">
      <c r="A940" t="inlineStr">
        <is>
          <t>2018-11-05</t>
        </is>
      </c>
      <c r="B940" t="n">
        <v>27.2189</v>
      </c>
      <c r="C940" t="n">
        <v>34.9774</v>
      </c>
    </row>
    <row r="941">
      <c r="A941" t="inlineStr">
        <is>
          <t>2018-11-06</t>
        </is>
      </c>
      <c r="B941" t="n">
        <v>27.2296</v>
      </c>
      <c r="C941" t="n">
        <v>34.971</v>
      </c>
    </row>
    <row r="942">
      <c r="A942" t="inlineStr">
        <is>
          <t>2018-11-07</t>
        </is>
      </c>
      <c r="B942" t="n">
        <v>27.3986</v>
      </c>
      <c r="C942" t="n">
        <v>35.1677</v>
      </c>
    </row>
    <row r="943">
      <c r="A943" t="inlineStr">
        <is>
          <t>2018-11-08</t>
        </is>
      </c>
      <c r="B943" t="n">
        <v>27.5281</v>
      </c>
      <c r="C943" t="n">
        <v>35.3095</v>
      </c>
    </row>
    <row r="944">
      <c r="A944" t="inlineStr">
        <is>
          <t>2018-11-09</t>
        </is>
      </c>
      <c r="B944" t="n">
        <v>27.2904</v>
      </c>
      <c r="C944" t="n">
        <v>34.997</v>
      </c>
    </row>
    <row r="945">
      <c r="A945" t="inlineStr">
        <is>
          <t>2018-11-12</t>
        </is>
      </c>
      <c r="B945" t="n">
        <v>27.0875</v>
      </c>
      <c r="C945" t="n">
        <v>34.7441</v>
      </c>
    </row>
    <row r="946">
      <c r="A946" t="inlineStr">
        <is>
          <t>2018-11-13</t>
        </is>
      </c>
      <c r="B946" t="n">
        <v>27.2025</v>
      </c>
      <c r="C946" t="n">
        <v>34.8951</v>
      </c>
    </row>
    <row r="947">
      <c r="A947" t="inlineStr">
        <is>
          <t>2018-11-14</t>
        </is>
      </c>
      <c r="B947" t="n">
        <v>27.0658</v>
      </c>
      <c r="C947" t="n">
        <v>34.7189</v>
      </c>
    </row>
    <row r="948">
      <c r="A948" t="inlineStr">
        <is>
          <t>2018-11-15</t>
        </is>
      </c>
      <c r="B948" t="n">
        <v>26.8659</v>
      </c>
      <c r="C948" t="n">
        <v>34.4724</v>
      </c>
    </row>
    <row r="949">
      <c r="A949" t="inlineStr">
        <is>
          <t>2018-11-16</t>
        </is>
      </c>
      <c r="B949" t="n">
        <v>26.8118</v>
      </c>
      <c r="C949" t="n">
        <v>34.4162</v>
      </c>
    </row>
    <row r="950">
      <c r="A950" t="inlineStr">
        <is>
          <t>2018-11-19</t>
        </is>
      </c>
      <c r="B950" t="n">
        <v>26.8712</v>
      </c>
      <c r="C950" t="n">
        <v>34.4969</v>
      </c>
    </row>
    <row r="951">
      <c r="A951" t="inlineStr">
        <is>
          <t>2018-11-20</t>
        </is>
      </c>
      <c r="B951" t="n">
        <v>26.5329</v>
      </c>
      <c r="C951" t="n">
        <v>34.0139</v>
      </c>
    </row>
    <row r="952">
      <c r="A952" t="inlineStr">
        <is>
          <t>2018-11-21</t>
        </is>
      </c>
      <c r="B952" t="n">
        <v>26.5577</v>
      </c>
      <c r="C952" t="n">
        <v>34.0932</v>
      </c>
    </row>
    <row r="953">
      <c r="A953" t="inlineStr">
        <is>
          <t>2018-11-22</t>
        </is>
      </c>
      <c r="B953" t="n">
        <v>26.3928</v>
      </c>
      <c r="C953" t="n">
        <v>33.8115</v>
      </c>
    </row>
    <row r="954">
      <c r="A954" t="inlineStr">
        <is>
          <t>2018-11-23</t>
        </is>
      </c>
      <c r="B954" t="n">
        <v>26.6906</v>
      </c>
      <c r="C954" t="n">
        <v>34.2054</v>
      </c>
    </row>
    <row r="955">
      <c r="A955" t="inlineStr">
        <is>
          <t>2018-11-26</t>
        </is>
      </c>
      <c r="B955" t="n">
        <v>26.8524</v>
      </c>
      <c r="C955" t="n">
        <v>34.4169</v>
      </c>
    </row>
    <row r="956">
      <c r="A956" t="inlineStr">
        <is>
          <t>2018-11-27</t>
        </is>
      </c>
      <c r="B956" t="n">
        <v>26.8869</v>
      </c>
      <c r="C956" t="n">
        <v>34.4727</v>
      </c>
    </row>
    <row r="957">
      <c r="A957" t="inlineStr">
        <is>
          <t>2018-11-28</t>
        </is>
      </c>
      <c r="B957" t="n">
        <v>27.0023</v>
      </c>
      <c r="C957" t="n">
        <v>34.6017</v>
      </c>
    </row>
    <row r="958">
      <c r="A958" t="inlineStr">
        <is>
          <t>2018-11-29</t>
        </is>
      </c>
      <c r="B958" t="n">
        <v>26.8987</v>
      </c>
      <c r="C958" t="n">
        <v>34.5169</v>
      </c>
    </row>
    <row r="959">
      <c r="A959" t="inlineStr">
        <is>
          <t>2018-11-30</t>
        </is>
      </c>
      <c r="B959" t="n">
        <v>27.0044</v>
      </c>
      <c r="C959" t="n">
        <v>34.6326</v>
      </c>
    </row>
    <row r="960">
      <c r="A960" t="inlineStr">
        <is>
          <t>2018-12-03</t>
        </is>
      </c>
      <c r="B960" t="n">
        <v>27.6325</v>
      </c>
      <c r="C960" t="n">
        <v>35.4723</v>
      </c>
    </row>
    <row r="961">
      <c r="A961" t="inlineStr">
        <is>
          <t>2018-12-04</t>
        </is>
      </c>
      <c r="B961" t="n">
        <v>27.6531</v>
      </c>
      <c r="C961" t="n">
        <v>35.4935</v>
      </c>
    </row>
    <row r="962">
      <c r="A962" t="inlineStr">
        <is>
          <t>2018-12-06</t>
        </is>
      </c>
      <c r="B962" t="n">
        <v>27.2719</v>
      </c>
      <c r="C962" t="n">
        <v>35.0251</v>
      </c>
    </row>
    <row r="963">
      <c r="A963" t="inlineStr">
        <is>
          <t>2018-12-07</t>
        </is>
      </c>
      <c r="B963" t="n">
        <v>27.1496</v>
      </c>
      <c r="C963" t="n">
        <v>34.8885</v>
      </c>
    </row>
    <row r="964">
      <c r="A964" t="inlineStr">
        <is>
          <t>2018-12-11</t>
        </is>
      </c>
      <c r="B964" t="n">
        <v>26.8158</v>
      </c>
      <c r="C964" t="n">
        <v>34.4864</v>
      </c>
    </row>
    <row r="965">
      <c r="A965" t="inlineStr">
        <is>
          <t>2018-12-12</t>
        </is>
      </c>
      <c r="B965" t="n">
        <v>26.9015</v>
      </c>
      <c r="C965" t="n">
        <v>34.5618</v>
      </c>
    </row>
    <row r="966">
      <c r="A966" t="inlineStr">
        <is>
          <t>2018-12-13</t>
        </is>
      </c>
      <c r="B966" t="n">
        <v>26.5376</v>
      </c>
      <c r="C966" t="n">
        <v>34.1293</v>
      </c>
    </row>
    <row r="967">
      <c r="A967" t="inlineStr">
        <is>
          <t>2018-12-14</t>
        </is>
      </c>
      <c r="B967" t="n">
        <v>26.4763</v>
      </c>
      <c r="C967" t="n">
        <v>34.0498</v>
      </c>
    </row>
    <row r="968">
      <c r="A968" t="inlineStr">
        <is>
          <t>2018-12-17</t>
        </is>
      </c>
      <c r="B968" t="n">
        <v>26.4027</v>
      </c>
      <c r="C968" t="n">
        <v>33.9505</v>
      </c>
    </row>
    <row r="969">
      <c r="A969" t="inlineStr">
        <is>
          <t>2018-12-18</t>
        </is>
      </c>
      <c r="B969" t="n">
        <v>26.095</v>
      </c>
      <c r="C969" t="n">
        <v>33.5463</v>
      </c>
    </row>
    <row r="970">
      <c r="A970" t="inlineStr">
        <is>
          <t>2018-12-19</t>
        </is>
      </c>
      <c r="B970" t="n">
        <v>26.3943</v>
      </c>
      <c r="C970" t="n">
        <v>33.945</v>
      </c>
    </row>
    <row r="971">
      <c r="A971" t="inlineStr">
        <is>
          <t>2018-12-20</t>
        </is>
      </c>
      <c r="B971" t="n">
        <v>26.3504</v>
      </c>
      <c r="C971" t="n">
        <v>33.8741</v>
      </c>
    </row>
    <row r="972">
      <c r="A972" t="inlineStr">
        <is>
          <t>2018-12-21</t>
        </is>
      </c>
      <c r="B972" t="n">
        <v>26.344</v>
      </c>
      <c r="C972" t="n">
        <v>33.9</v>
      </c>
    </row>
    <row r="973">
      <c r="A973" t="inlineStr">
        <is>
          <t>2018-12-24</t>
        </is>
      </c>
      <c r="B973" t="n">
        <v>26.2699</v>
      </c>
      <c r="C973" t="n">
        <v>33.8124</v>
      </c>
    </row>
    <row r="974">
      <c r="A974" t="inlineStr">
        <is>
          <t>2018-12-25</t>
        </is>
      </c>
      <c r="B974" t="n">
        <v>25.6542</v>
      </c>
      <c r="C974" t="n">
        <v>33.0458</v>
      </c>
    </row>
    <row r="975">
      <c r="A975" t="inlineStr">
        <is>
          <t>2018-12-26</t>
        </is>
      </c>
      <c r="B975" t="n">
        <v>25.7086</v>
      </c>
      <c r="C975" t="n">
        <v>33.0653</v>
      </c>
    </row>
    <row r="976">
      <c r="A976" t="inlineStr">
        <is>
          <t>2018-12-27</t>
        </is>
      </c>
      <c r="B976" t="n">
        <v>25.5397</v>
      </c>
      <c r="C976" t="n">
        <v>32.8544</v>
      </c>
    </row>
    <row r="977">
      <c r="A977" t="inlineStr">
        <is>
          <t>2018-12-28</t>
        </is>
      </c>
      <c r="B977" t="n">
        <v>25.8201</v>
      </c>
      <c r="C977" t="n">
        <v>33.2109</v>
      </c>
    </row>
    <row r="978">
      <c r="A978" t="inlineStr">
        <is>
          <t>2019-01-02</t>
        </is>
      </c>
      <c r="B978" t="n">
        <v>25.8264</v>
      </c>
      <c r="C978" t="n">
        <v>33.2648</v>
      </c>
    </row>
    <row r="979">
      <c r="A979" t="inlineStr">
        <is>
          <t>2019-01-03</t>
        </is>
      </c>
      <c r="B979" t="n">
        <v>25.6773</v>
      </c>
      <c r="C979" t="n">
        <v>33.1001</v>
      </c>
    </row>
    <row r="980">
      <c r="A980" t="inlineStr">
        <is>
          <t>2019-01-04</t>
        </is>
      </c>
      <c r="B980" t="n">
        <v>26.0432</v>
      </c>
      <c r="C980" t="n">
        <v>33.5043</v>
      </c>
    </row>
    <row r="981">
      <c r="A981" t="inlineStr">
        <is>
          <t>2019-01-07</t>
        </is>
      </c>
      <c r="B981" t="n">
        <v>26.3798</v>
      </c>
      <c r="C981" t="n">
        <v>33.9057</v>
      </c>
    </row>
    <row r="982">
      <c r="A982" t="inlineStr">
        <is>
          <t>2019-01-08</t>
        </is>
      </c>
      <c r="B982" t="n">
        <v>26.3748</v>
      </c>
      <c r="C982" t="n">
        <v>33.911</v>
      </c>
    </row>
    <row r="983">
      <c r="A983" t="inlineStr">
        <is>
          <t>2019-01-09</t>
        </is>
      </c>
      <c r="B983" t="n">
        <v>26.3286</v>
      </c>
      <c r="C983" t="n">
        <v>33.8347</v>
      </c>
    </row>
    <row r="984">
      <c r="A984" t="inlineStr">
        <is>
          <t>2019-01-10</t>
        </is>
      </c>
      <c r="B984" t="n">
        <v>26.3102</v>
      </c>
      <c r="C984" t="n">
        <v>33.7824</v>
      </c>
    </row>
    <row r="985">
      <c r="A985" t="inlineStr">
        <is>
          <t>2019-01-11</t>
        </is>
      </c>
      <c r="B985" t="n">
        <v>26.4164</v>
      </c>
      <c r="C985" t="n">
        <v>33.9785</v>
      </c>
    </row>
    <row r="986">
      <c r="A986" t="inlineStr">
        <is>
          <t>2019-01-14</t>
        </is>
      </c>
      <c r="B986" t="n">
        <v>26.1048</v>
      </c>
      <c r="C986" t="n">
        <v>33.6251</v>
      </c>
    </row>
    <row r="987">
      <c r="A987" t="inlineStr">
        <is>
          <t>2019-01-15</t>
        </is>
      </c>
      <c r="B987" t="n">
        <v>26.0117</v>
      </c>
      <c r="C987" t="n">
        <v>33.4914</v>
      </c>
    </row>
    <row r="988">
      <c r="A988" t="inlineStr">
        <is>
          <t>2019-01-16</t>
        </is>
      </c>
      <c r="B988" t="n">
        <v>26.0765</v>
      </c>
      <c r="C988" t="n">
        <v>33.5504</v>
      </c>
    </row>
    <row r="989">
      <c r="A989" t="inlineStr">
        <is>
          <t>2019-01-17</t>
        </is>
      </c>
      <c r="B989" t="n">
        <v>26.0855</v>
      </c>
      <c r="C989" t="n">
        <v>33.6155</v>
      </c>
    </row>
    <row r="990">
      <c r="A990" t="inlineStr">
        <is>
          <t>2019-01-18</t>
        </is>
      </c>
      <c r="B990" t="n">
        <v>26.1679</v>
      </c>
      <c r="C990" t="n">
        <v>33.7156</v>
      </c>
    </row>
    <row r="991">
      <c r="A991" t="inlineStr">
        <is>
          <t>2019-01-21</t>
        </is>
      </c>
      <c r="B991" t="n">
        <v>26.2523</v>
      </c>
      <c r="C991" t="n">
        <v>33.8276</v>
      </c>
    </row>
    <row r="992">
      <c r="A992" t="inlineStr">
        <is>
          <t>2019-01-22</t>
        </is>
      </c>
      <c r="B992" t="n">
        <v>26.5098</v>
      </c>
      <c r="C992" t="n">
        <v>34.1151</v>
      </c>
    </row>
    <row r="993">
      <c r="A993" t="inlineStr">
        <is>
          <t>2019-01-23</t>
        </is>
      </c>
      <c r="B993" t="n">
        <v>26.7491</v>
      </c>
      <c r="C993" t="n">
        <v>34.3947</v>
      </c>
    </row>
    <row r="994">
      <c r="A994" t="inlineStr">
        <is>
          <t>2019-01-24</t>
        </is>
      </c>
      <c r="B994" t="n">
        <v>26.7961</v>
      </c>
      <c r="C994" t="n">
        <v>34.4373</v>
      </c>
    </row>
    <row r="995">
      <c r="A995" t="inlineStr">
        <is>
          <t>2019-01-25</t>
        </is>
      </c>
      <c r="B995" t="n">
        <v>26.8512</v>
      </c>
      <c r="C995" t="n">
        <v>34.5042</v>
      </c>
    </row>
    <row r="996">
      <c r="A996" t="inlineStr">
        <is>
          <t>2019-01-28</t>
        </is>
      </c>
      <c r="B996" t="n">
        <v>26.8502</v>
      </c>
      <c r="C996" t="n">
        <v>34.5138</v>
      </c>
    </row>
    <row r="997">
      <c r="A997" t="inlineStr">
        <is>
          <t>2019-01-29</t>
        </is>
      </c>
      <c r="B997" t="n">
        <v>26.856</v>
      </c>
      <c r="C997" t="n">
        <v>34.5089</v>
      </c>
    </row>
    <row r="998">
      <c r="A998" t="inlineStr">
        <is>
          <t>2019-01-30</t>
        </is>
      </c>
      <c r="B998" t="n">
        <v>26.9876</v>
      </c>
      <c r="C998" t="n">
        <v>34.6579</v>
      </c>
    </row>
    <row r="999">
      <c r="A999" t="inlineStr">
        <is>
          <t>2019-01-31</t>
        </is>
      </c>
      <c r="B999" t="n">
        <v>27.1112</v>
      </c>
      <c r="C999" t="n">
        <v>34.8289</v>
      </c>
    </row>
    <row r="1000">
      <c r="A1000" t="inlineStr">
        <is>
          <t>2019-02-01</t>
        </is>
      </c>
      <c r="B1000" t="n">
        <v>27.2855</v>
      </c>
      <c r="C1000" t="n">
        <v>35.0084</v>
      </c>
    </row>
    <row r="1001">
      <c r="A1001" t="inlineStr">
        <is>
          <t>2019-02-04</t>
        </is>
      </c>
      <c r="B1001" t="n">
        <v>27.2898</v>
      </c>
      <c r="C1001" t="n">
        <v>35.0177</v>
      </c>
    </row>
    <row r="1002">
      <c r="A1002" t="inlineStr">
        <is>
          <t>2019-02-05</t>
        </is>
      </c>
      <c r="B1002" t="n">
        <v>27.2986</v>
      </c>
      <c r="C1002" t="n">
        <v>35.0213</v>
      </c>
    </row>
    <row r="1003">
      <c r="A1003" t="inlineStr">
        <is>
          <t>2019-02-06</t>
        </is>
      </c>
      <c r="B1003" t="n">
        <v>27.3493</v>
      </c>
      <c r="C1003" t="n">
        <v>35.1178</v>
      </c>
    </row>
    <row r="1004">
      <c r="A1004" t="inlineStr">
        <is>
          <t>2019-02-07</t>
        </is>
      </c>
      <c r="B1004" t="n">
        <v>27.2685</v>
      </c>
      <c r="C1004" t="n">
        <v>35.0093</v>
      </c>
    </row>
    <row r="1005">
      <c r="A1005" t="inlineStr">
        <is>
          <t>2019-02-08</t>
        </is>
      </c>
      <c r="B1005" t="n">
        <v>27.2625</v>
      </c>
      <c r="C1005" t="n">
        <v>34.9858</v>
      </c>
    </row>
    <row r="1006">
      <c r="A1006" t="inlineStr">
        <is>
          <t>2019-02-11</t>
        </is>
      </c>
      <c r="B1006" t="n">
        <v>26.9937</v>
      </c>
      <c r="C1006" t="n">
        <v>34.6763</v>
      </c>
    </row>
    <row r="1007">
      <c r="A1007" t="inlineStr">
        <is>
          <t>2019-02-12</t>
        </is>
      </c>
      <c r="B1007" t="n">
        <v>27.0519</v>
      </c>
      <c r="C1007" t="n">
        <v>34.7558</v>
      </c>
    </row>
    <row r="1008">
      <c r="A1008" t="inlineStr">
        <is>
          <t>2019-02-13</t>
        </is>
      </c>
      <c r="B1008" t="n">
        <v>27.3085</v>
      </c>
      <c r="C1008" t="n">
        <v>35.0664</v>
      </c>
    </row>
    <row r="1009">
      <c r="A1009" t="inlineStr">
        <is>
          <t>2019-02-14</t>
        </is>
      </c>
      <c r="B1009" t="n">
        <v>27.2406</v>
      </c>
      <c r="C1009" t="n">
        <v>34.983</v>
      </c>
    </row>
    <row r="1010">
      <c r="A1010" t="inlineStr">
        <is>
          <t>2019-02-15</t>
        </is>
      </c>
      <c r="B1010" t="n">
        <v>26.9871</v>
      </c>
      <c r="C1010" t="n">
        <v>34.635</v>
      </c>
    </row>
    <row r="1011">
      <c r="A1011" t="inlineStr">
        <is>
          <t>2019-02-18</t>
        </is>
      </c>
      <c r="B1011" t="n">
        <v>26.9513</v>
      </c>
      <c r="C1011" t="n">
        <v>34.6205</v>
      </c>
    </row>
    <row r="1012">
      <c r="A1012" t="inlineStr">
        <is>
          <t>2019-02-20</t>
        </is>
      </c>
      <c r="B1012" t="n">
        <v>27.1512</v>
      </c>
      <c r="C1012" t="n">
        <v>34.8666</v>
      </c>
    </row>
    <row r="1013">
      <c r="A1013" t="inlineStr">
        <is>
          <t>2019-02-21</t>
        </is>
      </c>
      <c r="B1013" t="n">
        <v>27.1976</v>
      </c>
      <c r="C1013" t="n">
        <v>34.9066</v>
      </c>
    </row>
    <row r="1014">
      <c r="A1014" t="inlineStr">
        <is>
          <t>2019-02-22</t>
        </is>
      </c>
      <c r="B1014" t="n">
        <v>27.3925</v>
      </c>
      <c r="C1014" t="n">
        <v>35.1969</v>
      </c>
    </row>
    <row r="1015">
      <c r="A1015" t="inlineStr">
        <is>
          <t>2019-02-25</t>
        </is>
      </c>
      <c r="B1015" t="n">
        <v>27.6412</v>
      </c>
      <c r="C1015" t="n">
        <v>35.4743</v>
      </c>
    </row>
    <row r="1016">
      <c r="A1016" t="inlineStr">
        <is>
          <t>2019-02-26</t>
        </is>
      </c>
      <c r="B1016" t="n">
        <v>27.4812</v>
      </c>
      <c r="C1016" t="n">
        <v>35.2816</v>
      </c>
    </row>
    <row r="1017">
      <c r="A1017" t="inlineStr">
        <is>
          <t>2019-02-27</t>
        </is>
      </c>
      <c r="B1017" t="n">
        <v>27.529</v>
      </c>
      <c r="C1017" t="n">
        <v>35.3256</v>
      </c>
    </row>
    <row r="1018">
      <c r="A1018" t="inlineStr">
        <is>
          <t>2019-02-28</t>
        </is>
      </c>
      <c r="B1018" t="n">
        <v>27.2785</v>
      </c>
      <c r="C1018" t="n">
        <v>34.9978</v>
      </c>
    </row>
    <row r="1019">
      <c r="A1019" t="inlineStr">
        <is>
          <t>2019-03-01</t>
        </is>
      </c>
      <c r="B1019" t="n">
        <v>27.093</v>
      </c>
      <c r="C1019" t="n">
        <v>34.7686</v>
      </c>
    </row>
    <row r="1020">
      <c r="A1020" t="inlineStr">
        <is>
          <t>2019-03-04</t>
        </is>
      </c>
      <c r="B1020" t="n">
        <v>26.966</v>
      </c>
      <c r="C1020" t="n">
        <v>34.6287</v>
      </c>
    </row>
    <row r="1021">
      <c r="A1021" t="inlineStr">
        <is>
          <t>2019-03-05</t>
        </is>
      </c>
      <c r="B1021" t="n">
        <v>27.0373</v>
      </c>
      <c r="C1021" t="n">
        <v>34.7303</v>
      </c>
    </row>
    <row r="1022">
      <c r="A1022" t="inlineStr">
        <is>
          <t>2019-03-06</t>
        </is>
      </c>
      <c r="B1022" t="n">
        <v>26.8622</v>
      </c>
      <c r="C1022" t="n">
        <v>34.4979</v>
      </c>
    </row>
    <row r="1023">
      <c r="A1023" t="inlineStr">
        <is>
          <t>2019-03-07</t>
        </is>
      </c>
      <c r="B1023" t="n">
        <v>27.0072</v>
      </c>
      <c r="C1023" t="n">
        <v>34.6863</v>
      </c>
    </row>
    <row r="1024">
      <c r="A1024" t="inlineStr">
        <is>
          <t>2019-03-08</t>
        </is>
      </c>
      <c r="B1024" t="n">
        <v>26.962</v>
      </c>
      <c r="C1024" t="n">
        <v>34.6175</v>
      </c>
    </row>
    <row r="1025">
      <c r="A1025" t="inlineStr">
        <is>
          <t>2019-03-11</t>
        </is>
      </c>
      <c r="B1025" t="n">
        <v>26.8832</v>
      </c>
      <c r="C1025" t="n">
        <v>34.5306</v>
      </c>
    </row>
    <row r="1026">
      <c r="A1026" t="inlineStr">
        <is>
          <t>2019-03-12</t>
        </is>
      </c>
      <c r="B1026" t="n">
        <v>26.8758</v>
      </c>
      <c r="C1026" t="n">
        <v>34.5359</v>
      </c>
    </row>
    <row r="1027">
      <c r="A1027" t="inlineStr">
        <is>
          <t>2019-03-13</t>
        </is>
      </c>
      <c r="B1027" t="n">
        <v>27.1164</v>
      </c>
      <c r="C1027" t="n">
        <v>34.8415</v>
      </c>
    </row>
    <row r="1028">
      <c r="A1028" t="inlineStr">
        <is>
          <t>2019-03-14</t>
        </is>
      </c>
      <c r="B1028" t="n">
        <v>27.0969</v>
      </c>
      <c r="C1028" t="n">
        <v>34.8119</v>
      </c>
    </row>
    <row r="1029">
      <c r="A1029" t="inlineStr">
        <is>
          <t>2019-03-15</t>
        </is>
      </c>
      <c r="B1029" t="n">
        <v>26.9103</v>
      </c>
      <c r="C1029" t="n">
        <v>34.5876</v>
      </c>
    </row>
    <row r="1030">
      <c r="A1030" t="inlineStr">
        <is>
          <t>2019-03-18</t>
        </is>
      </c>
      <c r="B1030" t="n">
        <v>26.7733</v>
      </c>
      <c r="C1030" t="n">
        <v>34.416</v>
      </c>
    </row>
    <row r="1031">
      <c r="A1031" t="inlineStr">
        <is>
          <t>2019-03-19</t>
        </is>
      </c>
      <c r="B1031" t="n">
        <v>27.0289</v>
      </c>
      <c r="C1031" t="n">
        <v>34.7201</v>
      </c>
    </row>
    <row r="1032">
      <c r="A1032" t="inlineStr">
        <is>
          <t>2019-03-20</t>
        </is>
      </c>
      <c r="B1032" t="n">
        <v>26.9819</v>
      </c>
      <c r="C1032" t="n">
        <v>34.6461</v>
      </c>
    </row>
    <row r="1033">
      <c r="A1033" t="inlineStr">
        <is>
          <t>2019-03-21</t>
        </is>
      </c>
      <c r="B1033" t="n">
        <v>27.1107</v>
      </c>
      <c r="C1033" t="n">
        <v>34.8169</v>
      </c>
    </row>
    <row r="1034">
      <c r="A1034" t="inlineStr">
        <is>
          <t>2019-03-22</t>
        </is>
      </c>
      <c r="B1034" t="n">
        <v>27.4064</v>
      </c>
      <c r="C1034" t="n">
        <v>35.1758</v>
      </c>
    </row>
    <row r="1035">
      <c r="A1035" t="inlineStr">
        <is>
          <t>2019-03-25</t>
        </is>
      </c>
      <c r="B1035" t="n">
        <v>27.0122</v>
      </c>
      <c r="C1035" t="n">
        <v>34.6768</v>
      </c>
    </row>
    <row r="1036">
      <c r="A1036" t="inlineStr">
        <is>
          <t>2019-03-26</t>
        </is>
      </c>
      <c r="B1036" t="n">
        <v>27.1251</v>
      </c>
      <c r="C1036" t="n">
        <v>34.8475</v>
      </c>
    </row>
    <row r="1037">
      <c r="A1037" t="inlineStr">
        <is>
          <t>2019-03-27</t>
        </is>
      </c>
      <c r="B1037" t="n">
        <v>27.0277</v>
      </c>
      <c r="C1037" t="n">
        <v>34.7514</v>
      </c>
    </row>
    <row r="1038">
      <c r="A1038" t="inlineStr">
        <is>
          <t>2019-03-28</t>
        </is>
      </c>
      <c r="B1038" t="n">
        <v>27.0836</v>
      </c>
      <c r="C1038" t="n">
        <v>34.8428</v>
      </c>
    </row>
    <row r="1039">
      <c r="A1039" t="inlineStr">
        <is>
          <t>2019-03-29</t>
        </is>
      </c>
      <c r="B1039" t="n">
        <v>27.1775</v>
      </c>
      <c r="C1039" t="n">
        <v>34.924</v>
      </c>
    </row>
    <row r="1040">
      <c r="A1040" t="inlineStr">
        <is>
          <t>2019-04-01</t>
        </is>
      </c>
      <c r="B1040" t="n">
        <v>27.2383</v>
      </c>
      <c r="C1040" t="n">
        <v>35.0526</v>
      </c>
    </row>
    <row r="1041">
      <c r="A1041" t="inlineStr">
        <is>
          <t>2019-04-02</t>
        </is>
      </c>
      <c r="B1041" t="n">
        <v>27.356</v>
      </c>
      <c r="C1041" t="n">
        <v>35.2143</v>
      </c>
    </row>
    <row r="1042">
      <c r="A1042" t="inlineStr">
        <is>
          <t>2019-04-03</t>
        </is>
      </c>
      <c r="B1042" t="n">
        <v>27.3532</v>
      </c>
      <c r="C1042" t="n">
        <v>35.193</v>
      </c>
    </row>
    <row r="1043">
      <c r="A1043" t="inlineStr">
        <is>
          <t>2019-04-04</t>
        </is>
      </c>
      <c r="B1043" t="n">
        <v>27.2023</v>
      </c>
      <c r="C1043" t="n">
        <v>35.0745</v>
      </c>
    </row>
    <row r="1044">
      <c r="A1044" t="inlineStr">
        <is>
          <t>2019-04-05</t>
        </is>
      </c>
      <c r="B1044" t="n">
        <v>27.2298</v>
      </c>
      <c r="C1044" t="n">
        <v>35.1175</v>
      </c>
    </row>
    <row r="1045">
      <c r="A1045" t="inlineStr">
        <is>
          <t>2019-04-09</t>
        </is>
      </c>
      <c r="B1045" t="n">
        <v>27.4661</v>
      </c>
      <c r="C1045" t="n">
        <v>35.4122</v>
      </c>
    </row>
    <row r="1046">
      <c r="A1046" t="inlineStr">
        <is>
          <t>2019-04-10</t>
        </is>
      </c>
      <c r="B1046" t="n">
        <v>27.5603</v>
      </c>
      <c r="C1046" t="n">
        <v>35.5227</v>
      </c>
    </row>
    <row r="1047">
      <c r="A1047" t="inlineStr">
        <is>
          <t>2019-04-11</t>
        </is>
      </c>
      <c r="B1047" t="n">
        <v>27.5127</v>
      </c>
      <c r="C1047" t="n">
        <v>35.4414</v>
      </c>
    </row>
    <row r="1048">
      <c r="A1048" t="inlineStr">
        <is>
          <t>2019-04-12</t>
        </is>
      </c>
      <c r="B1048" t="n">
        <v>27.5288</v>
      </c>
      <c r="C1048" t="n">
        <v>35.4866</v>
      </c>
    </row>
    <row r="1049">
      <c r="A1049" t="inlineStr">
        <is>
          <t>2019-04-17</t>
        </is>
      </c>
      <c r="B1049" t="n">
        <v>27.6965</v>
      </c>
      <c r="C1049" t="n">
        <v>35.7081</v>
      </c>
    </row>
    <row r="1050">
      <c r="A1050" t="inlineStr">
        <is>
          <t>2019-04-18</t>
        </is>
      </c>
      <c r="B1050" t="n">
        <v>27.7265</v>
      </c>
      <c r="C1050" t="n">
        <v>35.7556</v>
      </c>
    </row>
    <row r="1051">
      <c r="A1051" t="inlineStr">
        <is>
          <t>2019-04-19</t>
        </is>
      </c>
      <c r="B1051" t="n">
        <v>27.7109</v>
      </c>
      <c r="C1051" t="n">
        <v>35.7342</v>
      </c>
    </row>
    <row r="1052">
      <c r="A1052" t="inlineStr">
        <is>
          <t>2019-04-22</t>
        </is>
      </c>
      <c r="B1052" t="n">
        <v>27.7251</v>
      </c>
      <c r="C1052" t="n">
        <v>35.7288</v>
      </c>
    </row>
    <row r="1053">
      <c r="A1053" t="inlineStr">
        <is>
          <t>2019-04-23</t>
        </is>
      </c>
      <c r="B1053" t="n">
        <v>27.7463</v>
      </c>
      <c r="C1053" t="n">
        <v>35.7383</v>
      </c>
    </row>
    <row r="1054">
      <c r="A1054" t="inlineStr">
        <is>
          <t>2019-04-24</t>
        </is>
      </c>
      <c r="B1054" t="n">
        <v>27.803</v>
      </c>
      <c r="C1054" t="n">
        <v>35.8148</v>
      </c>
    </row>
    <row r="1055">
      <c r="A1055" t="inlineStr">
        <is>
          <t>2019-04-25</t>
        </is>
      </c>
      <c r="B1055" t="n">
        <v>27.7468</v>
      </c>
      <c r="C1055" t="n">
        <v>35.7878</v>
      </c>
    </row>
    <row r="1056">
      <c r="A1056" t="inlineStr">
        <is>
          <t>2019-04-26</t>
        </is>
      </c>
      <c r="B1056" t="n">
        <v>27.6509</v>
      </c>
      <c r="C1056" t="n">
        <v>35.6335</v>
      </c>
    </row>
    <row r="1057">
      <c r="A1057" t="inlineStr">
        <is>
          <t>2019-04-29</t>
        </is>
      </c>
      <c r="B1057" t="n">
        <v>27.6422</v>
      </c>
      <c r="C1057" t="n">
        <v>35.6104</v>
      </c>
    </row>
    <row r="1058">
      <c r="A1058" t="inlineStr">
        <is>
          <t>2019-04-30</t>
        </is>
      </c>
      <c r="B1058" t="n">
        <v>27.8006</v>
      </c>
      <c r="C1058" t="n">
        <v>35.8127</v>
      </c>
    </row>
    <row r="1059">
      <c r="A1059" t="inlineStr">
        <is>
          <t>2019-05-02</t>
        </is>
      </c>
      <c r="B1059" t="n">
        <v>27.8849</v>
      </c>
      <c r="C1059" t="n">
        <v>35.9474</v>
      </c>
    </row>
    <row r="1060">
      <c r="A1060" t="inlineStr">
        <is>
          <t>2019-05-03</t>
        </is>
      </c>
      <c r="B1060" t="n">
        <v>27.9132</v>
      </c>
      <c r="C1060" t="n">
        <v>35.9907</v>
      </c>
    </row>
    <row r="1061">
      <c r="A1061" t="inlineStr">
        <is>
          <t>2019-05-07</t>
        </is>
      </c>
      <c r="B1061" t="n">
        <v>27.7186</v>
      </c>
      <c r="C1061" t="n">
        <v>35.7653</v>
      </c>
    </row>
    <row r="1062">
      <c r="A1062" t="inlineStr">
        <is>
          <t>2019-05-08</t>
        </is>
      </c>
      <c r="B1062" t="n">
        <v>27.4857</v>
      </c>
      <c r="C1062" t="n">
        <v>35.447</v>
      </c>
    </row>
    <row r="1063">
      <c r="A1063" t="inlineStr">
        <is>
          <t>2019-05-09</t>
        </is>
      </c>
      <c r="B1063" t="n">
        <v>27.3681</v>
      </c>
      <c r="C1063" t="n">
        <v>35.2702</v>
      </c>
    </row>
    <row r="1064">
      <c r="A1064" t="inlineStr">
        <is>
          <t>2019-05-10</t>
        </is>
      </c>
      <c r="B1064" t="n">
        <v>27.4357</v>
      </c>
      <c r="C1064" t="n">
        <v>35.3458</v>
      </c>
    </row>
    <row r="1065">
      <c r="A1065" t="inlineStr">
        <is>
          <t>2019-05-13</t>
        </is>
      </c>
      <c r="B1065" t="n">
        <v>27.3003</v>
      </c>
      <c r="C1065" t="n">
        <v>35.1836</v>
      </c>
    </row>
    <row r="1066">
      <c r="A1066" t="inlineStr">
        <is>
          <t>2019-05-14</t>
        </is>
      </c>
      <c r="B1066" t="n">
        <v>27.2342</v>
      </c>
      <c r="C1066" t="n">
        <v>35.0647</v>
      </c>
    </row>
    <row r="1067">
      <c r="A1067" t="inlineStr">
        <is>
          <t>2019-05-15</t>
        </is>
      </c>
      <c r="B1067" t="n">
        <v>25.9291</v>
      </c>
      <c r="C1067" t="n">
        <v>34.8104</v>
      </c>
    </row>
    <row r="1068">
      <c r="A1068" t="inlineStr">
        <is>
          <t>2019-05-16</t>
        </is>
      </c>
      <c r="B1068" t="n">
        <v>25.859</v>
      </c>
      <c r="C1068" t="n">
        <v>34.6392</v>
      </c>
    </row>
    <row r="1069">
      <c r="A1069" t="inlineStr">
        <is>
          <t>2019-05-17</t>
        </is>
      </c>
      <c r="B1069" t="n">
        <v>25.7513</v>
      </c>
      <c r="C1069" t="n">
        <v>34.4926</v>
      </c>
    </row>
    <row r="1070">
      <c r="A1070" t="inlineStr">
        <is>
          <t>2019-05-21</t>
        </is>
      </c>
      <c r="B1070" t="n">
        <v>25.8312</v>
      </c>
      <c r="C1070" t="n">
        <v>34.5981</v>
      </c>
    </row>
    <row r="1071">
      <c r="A1071" t="inlineStr">
        <is>
          <t>2019-05-22</t>
        </is>
      </c>
      <c r="B1071" t="n">
        <v>26.0786</v>
      </c>
      <c r="C1071" t="n">
        <v>34.9632</v>
      </c>
    </row>
    <row r="1072">
      <c r="A1072" t="inlineStr">
        <is>
          <t>2019-05-23</t>
        </is>
      </c>
      <c r="B1072" t="n">
        <v>25.7805</v>
      </c>
      <c r="C1072" t="n">
        <v>34.5608</v>
      </c>
    </row>
    <row r="1073">
      <c r="A1073" t="inlineStr">
        <is>
          <t>2019-05-24</t>
        </is>
      </c>
      <c r="B1073" t="n">
        <v>25.8241</v>
      </c>
      <c r="C1073" t="n">
        <v>34.6121</v>
      </c>
    </row>
    <row r="1074">
      <c r="A1074" t="inlineStr">
        <is>
          <t>2019-05-27</t>
        </is>
      </c>
      <c r="B1074" t="n">
        <v>26.0172</v>
      </c>
      <c r="C1074" t="n">
        <v>34.8296</v>
      </c>
    </row>
    <row r="1075">
      <c r="A1075" t="inlineStr">
        <is>
          <t>2019-05-28</t>
        </is>
      </c>
      <c r="B1075" t="n">
        <v>26.1585</v>
      </c>
      <c r="C1075" t="n">
        <v>35.0093</v>
      </c>
    </row>
    <row r="1076">
      <c r="A1076" t="inlineStr">
        <is>
          <t>2019-05-29</t>
        </is>
      </c>
      <c r="B1076" t="n">
        <v>25.9005</v>
      </c>
      <c r="C1076" t="n">
        <v>34.6975</v>
      </c>
    </row>
    <row r="1077">
      <c r="A1077" t="inlineStr">
        <is>
          <t>2019-05-30</t>
        </is>
      </c>
      <c r="B1077" t="n">
        <v>25.8929</v>
      </c>
      <c r="C1077" t="n">
        <v>34.7595</v>
      </c>
    </row>
    <row r="1078">
      <c r="A1078" t="inlineStr">
        <is>
          <t>2019-05-31</t>
        </is>
      </c>
      <c r="B1078" t="n">
        <v>25.8286</v>
      </c>
      <c r="C1078" t="n">
        <v>34.6943</v>
      </c>
    </row>
    <row r="1079">
      <c r="A1079" t="inlineStr">
        <is>
          <t>2019-06-04</t>
        </is>
      </c>
      <c r="B1079" t="n">
        <v>26.1398</v>
      </c>
      <c r="C1079" t="n">
        <v>35.1114</v>
      </c>
    </row>
    <row r="1080">
      <c r="A1080" t="inlineStr">
        <is>
          <t>2019-06-05</t>
        </is>
      </c>
      <c r="B1080" t="n">
        <v>26.3069</v>
      </c>
      <c r="C1080" t="n">
        <v>35.3475</v>
      </c>
    </row>
    <row r="1081">
      <c r="A1081" t="inlineStr">
        <is>
          <t>2019-06-06</t>
        </is>
      </c>
      <c r="B1081" t="n">
        <v>26.3409</v>
      </c>
      <c r="C1081" t="n">
        <v>35.401</v>
      </c>
    </row>
    <row r="1082">
      <c r="A1082" t="inlineStr">
        <is>
          <t>2019-06-07</t>
        </is>
      </c>
      <c r="B1082" t="n">
        <v>26.2994</v>
      </c>
      <c r="C1082" t="n">
        <v>35.3582</v>
      </c>
    </row>
    <row r="1083">
      <c r="A1083" t="inlineStr">
        <is>
          <t>2019-06-10</t>
        </is>
      </c>
      <c r="B1083" t="n">
        <v>26.4725</v>
      </c>
      <c r="C1083" t="n">
        <v>35.6034</v>
      </c>
    </row>
    <row r="1084">
      <c r="A1084" t="inlineStr">
        <is>
          <t>2019-06-11</t>
        </is>
      </c>
      <c r="B1084" t="n">
        <v>26.5774</v>
      </c>
      <c r="C1084" t="n">
        <v>35.7675</v>
      </c>
    </row>
    <row r="1085">
      <c r="A1085" t="inlineStr">
        <is>
          <t>2019-06-12</t>
        </is>
      </c>
      <c r="B1085" t="n">
        <v>26.5939</v>
      </c>
      <c r="C1085" t="n">
        <v>35.7572</v>
      </c>
    </row>
    <row r="1086">
      <c r="A1086" t="inlineStr">
        <is>
          <t>2019-06-13</t>
        </is>
      </c>
      <c r="B1086" t="n">
        <v>26.6095</v>
      </c>
      <c r="C1086" t="n">
        <v>35.7939</v>
      </c>
    </row>
    <row r="1087">
      <c r="A1087" t="inlineStr">
        <is>
          <t>2019-06-14</t>
        </is>
      </c>
      <c r="B1087" t="n">
        <v>26.5631</v>
      </c>
      <c r="C1087" t="n">
        <v>35.7394</v>
      </c>
    </row>
    <row r="1088">
      <c r="A1088" t="inlineStr">
        <is>
          <t>2019-06-17</t>
        </is>
      </c>
      <c r="B1088" t="n">
        <v>26.4202</v>
      </c>
      <c r="C1088" t="n">
        <v>35.6273</v>
      </c>
    </row>
    <row r="1089">
      <c r="A1089" t="inlineStr">
        <is>
          <t>2019-06-18</t>
        </is>
      </c>
      <c r="B1089" t="n">
        <v>26.7187</v>
      </c>
      <c r="C1089" t="n">
        <v>36.0551</v>
      </c>
    </row>
    <row r="1090">
      <c r="A1090" t="inlineStr">
        <is>
          <t>2019-06-19</t>
        </is>
      </c>
      <c r="B1090" t="n">
        <v>27.1876</v>
      </c>
      <c r="C1090" t="n">
        <v>36.6194</v>
      </c>
    </row>
    <row r="1091">
      <c r="A1091" t="inlineStr">
        <is>
          <t>2019-06-20</t>
        </is>
      </c>
      <c r="B1091" t="n">
        <v>27.4337</v>
      </c>
      <c r="C1091" t="n">
        <v>36.9188</v>
      </c>
    </row>
    <row r="1092">
      <c r="A1092" t="inlineStr">
        <is>
          <t>2019-06-21</t>
        </is>
      </c>
      <c r="B1092" t="n">
        <v>27.3791</v>
      </c>
      <c r="C1092" t="n">
        <v>36.8473</v>
      </c>
    </row>
    <row r="1093">
      <c r="A1093" t="inlineStr">
        <is>
          <t>2019-06-24</t>
        </is>
      </c>
      <c r="B1093" t="n">
        <v>27.3887</v>
      </c>
      <c r="C1093" t="n">
        <v>36.8303</v>
      </c>
    </row>
    <row r="1094">
      <c r="A1094" t="inlineStr">
        <is>
          <t>2019-06-25</t>
        </is>
      </c>
      <c r="B1094" t="n">
        <v>27.4556</v>
      </c>
      <c r="C1094" t="n">
        <v>36.95</v>
      </c>
    </row>
    <row r="1095">
      <c r="A1095" t="inlineStr">
        <is>
          <t>2019-06-26</t>
        </is>
      </c>
      <c r="B1095" t="n">
        <v>27.393</v>
      </c>
      <c r="C1095" t="n">
        <v>36.9314</v>
      </c>
    </row>
    <row r="1096">
      <c r="A1096" t="inlineStr">
        <is>
          <t>2019-06-27</t>
        </is>
      </c>
      <c r="B1096" t="n">
        <v>27.5695</v>
      </c>
      <c r="C1096" t="n">
        <v>37.1598</v>
      </c>
    </row>
    <row r="1097">
      <c r="A1097" t="inlineStr">
        <is>
          <t>2019-06-28</t>
        </is>
      </c>
      <c r="B1097" t="n">
        <v>27.5549</v>
      </c>
      <c r="C1097" t="n">
        <v>37.1087</v>
      </c>
    </row>
    <row r="1098">
      <c r="A1098" t="inlineStr">
        <is>
          <t>2019-07-01</t>
        </is>
      </c>
      <c r="B1098" t="n">
        <v>27.7376</v>
      </c>
      <c r="C1098" t="n">
        <v>37.3946</v>
      </c>
    </row>
    <row r="1099">
      <c r="A1099" t="inlineStr">
        <is>
          <t>2019-07-02</t>
        </is>
      </c>
      <c r="B1099" t="n">
        <v>27.5543</v>
      </c>
      <c r="C1099" t="n">
        <v>37.1638</v>
      </c>
    </row>
    <row r="1100">
      <c r="A1100" t="inlineStr">
        <is>
          <t>2019-07-03</t>
        </is>
      </c>
      <c r="B1100" t="n">
        <v>27.5932</v>
      </c>
      <c r="C1100" t="n">
        <v>37.2321</v>
      </c>
    </row>
    <row r="1101">
      <c r="A1101" t="inlineStr">
        <is>
          <t>2019-07-04</t>
        </is>
      </c>
      <c r="B1101" t="n">
        <v>27.364</v>
      </c>
      <c r="C1101" t="n">
        <v>36.8887</v>
      </c>
    </row>
    <row r="1102">
      <c r="A1102" t="inlineStr">
        <is>
          <t>2019-07-05</t>
        </is>
      </c>
      <c r="B1102" t="n">
        <v>27.4315</v>
      </c>
      <c r="C1102" t="n">
        <v>37.0221</v>
      </c>
    </row>
    <row r="1103">
      <c r="A1103" t="inlineStr">
        <is>
          <t>2019-07-08</t>
        </is>
      </c>
      <c r="B1103" t="n">
        <v>27.3812</v>
      </c>
      <c r="C1103" t="n">
        <v>36.932</v>
      </c>
    </row>
    <row r="1104">
      <c r="A1104" t="inlineStr">
        <is>
          <t>2019-07-09</t>
        </is>
      </c>
      <c r="B1104" t="n">
        <v>27.1999</v>
      </c>
      <c r="C1104" t="n">
        <v>36.6473</v>
      </c>
    </row>
    <row r="1105">
      <c r="A1105" t="inlineStr">
        <is>
          <t>2019-07-10</t>
        </is>
      </c>
      <c r="B1105" t="n">
        <v>27.5143</v>
      </c>
      <c r="C1105" t="n">
        <v>37.1083</v>
      </c>
    </row>
    <row r="1106">
      <c r="A1106" t="inlineStr">
        <is>
          <t>2019-07-11</t>
        </is>
      </c>
      <c r="B1106" t="n">
        <v>27.4704</v>
      </c>
      <c r="C1106" t="n">
        <v>37.0779</v>
      </c>
    </row>
    <row r="1107">
      <c r="A1107" t="inlineStr">
        <is>
          <t>2019-07-12</t>
        </is>
      </c>
      <c r="B1107" t="n">
        <v>27.2855</v>
      </c>
      <c r="C1107" t="n">
        <v>36.8485</v>
      </c>
    </row>
    <row r="1108">
      <c r="A1108" t="inlineStr">
        <is>
          <t>2019-07-15</t>
        </is>
      </c>
      <c r="B1108" t="n">
        <v>27.2406</v>
      </c>
      <c r="C1108" t="n">
        <v>36.8305</v>
      </c>
    </row>
    <row r="1109">
      <c r="A1109" t="inlineStr">
        <is>
          <t>2019-07-17</t>
        </is>
      </c>
      <c r="B1109" t="n">
        <v>27.1764</v>
      </c>
      <c r="C1109" t="n">
        <v>36.705</v>
      </c>
    </row>
    <row r="1110">
      <c r="A1110" t="inlineStr">
        <is>
          <t>2019-07-18</t>
        </is>
      </c>
      <c r="B1110" t="n">
        <v>27.1858</v>
      </c>
      <c r="C1110" t="n">
        <v>36.7568</v>
      </c>
    </row>
    <row r="1111">
      <c r="A1111" t="inlineStr">
        <is>
          <t>2019-07-19</t>
        </is>
      </c>
      <c r="B1111" t="n">
        <v>27.4036</v>
      </c>
      <c r="C1111" t="n">
        <v>36.9965</v>
      </c>
    </row>
    <row r="1112">
      <c r="A1112" t="inlineStr">
        <is>
          <t>2019-07-22</t>
        </is>
      </c>
      <c r="B1112" t="n">
        <v>27.228</v>
      </c>
      <c r="C1112" t="n">
        <v>36.7637</v>
      </c>
    </row>
    <row r="1113">
      <c r="A1113" t="inlineStr">
        <is>
          <t>2019-07-23</t>
        </is>
      </c>
      <c r="B1113" t="n">
        <v>27.2092</v>
      </c>
      <c r="C1113" t="n">
        <v>36.7275</v>
      </c>
    </row>
    <row r="1114">
      <c r="A1114" t="inlineStr">
        <is>
          <t>2019-07-24</t>
        </is>
      </c>
      <c r="B1114" t="n">
        <v>27.1573</v>
      </c>
      <c r="C1114" t="n">
        <v>36.6863</v>
      </c>
    </row>
    <row r="1115">
      <c r="A1115" t="inlineStr">
        <is>
          <t>2019-07-25</t>
        </is>
      </c>
      <c r="B1115" t="n">
        <v>27.2136</v>
      </c>
      <c r="C1115" t="n">
        <v>36.7877</v>
      </c>
    </row>
    <row r="1116">
      <c r="A1116" t="inlineStr">
        <is>
          <t>2019-07-26</t>
        </is>
      </c>
      <c r="B1116" t="n">
        <v>26.9671</v>
      </c>
      <c r="C1116" t="n">
        <v>36.4739</v>
      </c>
    </row>
    <row r="1117">
      <c r="A1117" t="inlineStr">
        <is>
          <t>2019-07-30</t>
        </is>
      </c>
      <c r="B1117" t="n">
        <v>26.869</v>
      </c>
      <c r="C1117" t="n">
        <v>36.323</v>
      </c>
    </row>
    <row r="1118">
      <c r="A1118" t="inlineStr">
        <is>
          <t>2019-07-31</t>
        </is>
      </c>
      <c r="B1118" t="n">
        <v>26.9745</v>
      </c>
      <c r="C1118" t="n">
        <v>36.4663</v>
      </c>
    </row>
    <row r="1119">
      <c r="A1119" t="inlineStr">
        <is>
          <t>2019-08-01</t>
        </is>
      </c>
      <c r="B1119" t="n">
        <v>26.8285</v>
      </c>
      <c r="C1119" t="n">
        <v>36.2609</v>
      </c>
    </row>
    <row r="1120">
      <c r="A1120" t="inlineStr">
        <is>
          <t>2019-08-02</t>
        </is>
      </c>
      <c r="B1120" t="n">
        <v>26.5679</v>
      </c>
      <c r="C1120" t="n">
        <v>35.8953</v>
      </c>
    </row>
    <row r="1121">
      <c r="A1121" t="inlineStr">
        <is>
          <t>2019-08-05</t>
        </is>
      </c>
      <c r="B1121" t="n">
        <v>26.2229</v>
      </c>
      <c r="C1121" t="n">
        <v>35.4258</v>
      </c>
    </row>
    <row r="1122">
      <c r="A1122" t="inlineStr">
        <is>
          <t>2019-08-06</t>
        </is>
      </c>
      <c r="B1122" t="n">
        <v>26.2939</v>
      </c>
      <c r="C1122" t="n">
        <v>35.5466</v>
      </c>
    </row>
    <row r="1123">
      <c r="A1123" t="inlineStr">
        <is>
          <t>2019-08-07</t>
        </is>
      </c>
      <c r="B1123" t="n">
        <v>26.2687</v>
      </c>
      <c r="C1123" t="n">
        <v>35.4967</v>
      </c>
    </row>
    <row r="1124">
      <c r="A1124" t="inlineStr">
        <is>
          <t>2019-08-08</t>
        </is>
      </c>
      <c r="B1124" t="n">
        <v>26.204</v>
      </c>
      <c r="C1124" t="n">
        <v>35.4023</v>
      </c>
    </row>
    <row r="1125">
      <c r="A1125" t="inlineStr">
        <is>
          <t>2019-08-09</t>
        </is>
      </c>
      <c r="B1125" t="n">
        <v>26.0073</v>
      </c>
      <c r="C1125" t="n">
        <v>35.1095</v>
      </c>
    </row>
    <row r="1126">
      <c r="A1126" t="inlineStr">
        <is>
          <t>2019-08-13</t>
        </is>
      </c>
      <c r="B1126" t="n">
        <v>25.468</v>
      </c>
      <c r="C1126" t="n">
        <v>34.4165</v>
      </c>
    </row>
    <row r="1127">
      <c r="A1127" t="inlineStr">
        <is>
          <t>2019-08-14</t>
        </is>
      </c>
      <c r="B1127" t="n">
        <v>25.4826</v>
      </c>
      <c r="C1127" t="n">
        <v>34.4282</v>
      </c>
    </row>
    <row r="1128">
      <c r="A1128" t="inlineStr">
        <is>
          <t>2019-08-15</t>
        </is>
      </c>
      <c r="B1128" t="n">
        <v>25.2228</v>
      </c>
      <c r="C1128" t="n">
        <v>34.12</v>
      </c>
    </row>
    <row r="1129">
      <c r="A1129" t="inlineStr">
        <is>
          <t>2019-08-16</t>
        </is>
      </c>
      <c r="B1129" t="n">
        <v>25.7031</v>
      </c>
      <c r="C1129" t="n">
        <v>34.7774</v>
      </c>
    </row>
    <row r="1130">
      <c r="A1130" t="inlineStr">
        <is>
          <t>2019-08-19</t>
        </is>
      </c>
      <c r="B1130" t="n">
        <v>25.8036</v>
      </c>
      <c r="C1130" t="n">
        <v>34.9126</v>
      </c>
    </row>
    <row r="1131">
      <c r="A1131" t="inlineStr">
        <is>
          <t>2019-08-20</t>
        </is>
      </c>
      <c r="B1131" t="n">
        <v>25.5669</v>
      </c>
      <c r="C1131" t="n">
        <v>34.6121</v>
      </c>
    </row>
    <row r="1132">
      <c r="A1132" t="inlineStr">
        <is>
          <t>2019-08-21</t>
        </is>
      </c>
      <c r="B1132" t="n">
        <v>25.763</v>
      </c>
      <c r="C1132" t="n">
        <v>34.9397</v>
      </c>
    </row>
    <row r="1133">
      <c r="A1133" t="inlineStr">
        <is>
          <t>2019-08-22</t>
        </is>
      </c>
      <c r="B1133" t="n">
        <v>25.7008</v>
      </c>
      <c r="C1133" t="n">
        <v>34.8673</v>
      </c>
    </row>
    <row r="1134">
      <c r="A1134" t="inlineStr">
        <is>
          <t>2019-08-23</t>
        </is>
      </c>
      <c r="B1134" t="n">
        <v>25.9238</v>
      </c>
      <c r="C1134" t="n">
        <v>35.2136</v>
      </c>
    </row>
    <row r="1135">
      <c r="A1135" t="inlineStr">
        <is>
          <t>2019-08-26</t>
        </is>
      </c>
      <c r="B1135" t="n">
        <v>25.5041</v>
      </c>
      <c r="C1135" t="n">
        <v>34.6658</v>
      </c>
    </row>
    <row r="1136">
      <c r="A1136" t="inlineStr">
        <is>
          <t>2019-08-27</t>
        </is>
      </c>
      <c r="B1136" t="n">
        <v>25.3803</v>
      </c>
      <c r="C1136" t="n">
        <v>34.4649</v>
      </c>
    </row>
    <row r="1137">
      <c r="A1137" t="inlineStr">
        <is>
          <t>2019-08-28</t>
        </is>
      </c>
      <c r="B1137" t="n">
        <v>25.4429</v>
      </c>
      <c r="C1137" t="n">
        <v>34.5302</v>
      </c>
    </row>
    <row r="1138">
      <c r="A1138" t="inlineStr">
        <is>
          <t>2019-08-29</t>
        </is>
      </c>
      <c r="B1138" t="n">
        <v>25.8564</v>
      </c>
      <c r="C1138" t="n">
        <v>35.0828</v>
      </c>
    </row>
    <row r="1139">
      <c r="A1139" t="inlineStr">
        <is>
          <t>2019-08-30</t>
        </is>
      </c>
      <c r="B1139" t="n">
        <v>26.2028</v>
      </c>
      <c r="C1139" t="n">
        <v>35.5194</v>
      </c>
    </row>
    <row r="1140">
      <c r="A1140" t="inlineStr">
        <is>
          <t>2019-09-02</t>
        </is>
      </c>
      <c r="B1140" t="n">
        <v>26.1428</v>
      </c>
      <c r="C1140" t="n">
        <v>35.4717</v>
      </c>
    </row>
    <row r="1141">
      <c r="A1141" t="inlineStr">
        <is>
          <t>2019-09-03</t>
        </is>
      </c>
      <c r="B1141" t="n">
        <v>25.8819</v>
      </c>
      <c r="C1141" t="n">
        <v>35.1687</v>
      </c>
    </row>
    <row r="1142">
      <c r="A1142" t="inlineStr">
        <is>
          <t>2019-09-04</t>
        </is>
      </c>
      <c r="B1142" t="n">
        <v>26.205</v>
      </c>
      <c r="C1142" t="n">
        <v>35.6417</v>
      </c>
    </row>
    <row r="1143">
      <c r="A1143" t="inlineStr">
        <is>
          <t>2019-09-05</t>
        </is>
      </c>
      <c r="B1143" t="n">
        <v>26.4211</v>
      </c>
      <c r="C1143" t="n">
        <v>35.9376</v>
      </c>
    </row>
    <row r="1144">
      <c r="A1144" t="inlineStr">
        <is>
          <t>2019-09-06</t>
        </is>
      </c>
      <c r="B1144" t="n">
        <v>26.4251</v>
      </c>
      <c r="C1144" t="n">
        <v>35.9516</v>
      </c>
    </row>
    <row r="1145">
      <c r="A1145" t="inlineStr">
        <is>
          <t>2019-09-09</t>
        </is>
      </c>
      <c r="B1145" t="n">
        <v>26.458</v>
      </c>
      <c r="C1145" t="n">
        <v>35.9949</v>
      </c>
    </row>
    <row r="1146">
      <c r="A1146" t="inlineStr">
        <is>
          <t>2019-09-10</t>
        </is>
      </c>
      <c r="B1146" t="n">
        <v>26.377</v>
      </c>
      <c r="C1146" t="n">
        <v>35.9012</v>
      </c>
    </row>
    <row r="1147">
      <c r="A1147" t="inlineStr">
        <is>
          <t>2019-09-11</t>
        </is>
      </c>
      <c r="B1147" t="n">
        <v>26.6388</v>
      </c>
      <c r="C1147" t="n">
        <v>36.1809</v>
      </c>
    </row>
    <row r="1148">
      <c r="A1148" t="inlineStr">
        <is>
          <t>2019-09-12</t>
        </is>
      </c>
      <c r="B1148" t="n">
        <v>26.3917</v>
      </c>
      <c r="C1148" t="n">
        <v>35.8203</v>
      </c>
    </row>
    <row r="1149">
      <c r="A1149" t="inlineStr">
        <is>
          <t>2019-09-13</t>
        </is>
      </c>
      <c r="B1149" t="n">
        <v>26.3893</v>
      </c>
      <c r="C1149" t="n">
        <v>35.8134</v>
      </c>
    </row>
    <row r="1150">
      <c r="A1150" t="inlineStr">
        <is>
          <t>2019-09-16</t>
        </is>
      </c>
      <c r="B1150" t="n">
        <v>26.428</v>
      </c>
      <c r="C1150" t="n">
        <v>35.8868</v>
      </c>
    </row>
    <row r="1151">
      <c r="A1151" t="inlineStr">
        <is>
          <t>2019-09-17</t>
        </is>
      </c>
      <c r="B1151" t="n">
        <v>26.4509</v>
      </c>
      <c r="C1151" t="n">
        <v>35.9454</v>
      </c>
    </row>
    <row r="1152">
      <c r="A1152" t="inlineStr">
        <is>
          <t>2019-09-18</t>
        </is>
      </c>
      <c r="B1152" t="n">
        <v>26.2796</v>
      </c>
      <c r="C1152" t="n">
        <v>35.7089</v>
      </c>
    </row>
    <row r="1153">
      <c r="A1153" t="inlineStr">
        <is>
          <t>2019-09-19</t>
        </is>
      </c>
      <c r="B1153" t="n">
        <v>26.0559</v>
      </c>
      <c r="C1153" t="n">
        <v>35.3776</v>
      </c>
    </row>
    <row r="1154">
      <c r="A1154" t="inlineStr">
        <is>
          <t>2019-09-20</t>
        </is>
      </c>
      <c r="B1154" t="n">
        <v>26.0426</v>
      </c>
      <c r="C1154" t="n">
        <v>35.3335</v>
      </c>
    </row>
    <row r="1155">
      <c r="A1155" t="inlineStr">
        <is>
          <t>2019-09-23</t>
        </is>
      </c>
      <c r="B1155" t="n">
        <v>25.8052</v>
      </c>
      <c r="C1155" t="n">
        <v>34.9957</v>
      </c>
    </row>
    <row r="1156">
      <c r="A1156" t="inlineStr">
        <is>
          <t>2019-09-24</t>
        </is>
      </c>
      <c r="B1156" t="n">
        <v>25.9596</v>
      </c>
      <c r="C1156" t="n">
        <v>35.1858</v>
      </c>
    </row>
    <row r="1157">
      <c r="A1157" t="inlineStr">
        <is>
          <t>2019-09-25</t>
        </is>
      </c>
      <c r="B1157" t="n">
        <v>25.9017</v>
      </c>
      <c r="C1157" t="n">
        <v>35.0865</v>
      </c>
    </row>
    <row r="1158">
      <c r="A1158" t="inlineStr">
        <is>
          <t>2019-09-26</t>
        </is>
      </c>
      <c r="B1158" t="n">
        <v>26.0427</v>
      </c>
      <c r="C1158" t="n">
        <v>35.3118</v>
      </c>
    </row>
    <row r="1159">
      <c r="A1159" t="inlineStr">
        <is>
          <t>2019-09-27</t>
        </is>
      </c>
      <c r="B1159" t="n">
        <v>26.1927</v>
      </c>
      <c r="C1159" t="n">
        <v>35.5129</v>
      </c>
    </row>
    <row r="1160">
      <c r="A1160" t="inlineStr">
        <is>
          <t>2019-09-30</t>
        </is>
      </c>
      <c r="B1160" t="n">
        <v>26.0668</v>
      </c>
      <c r="C1160" t="n">
        <v>35.3662</v>
      </c>
    </row>
    <row r="1161">
      <c r="A1161" t="inlineStr">
        <is>
          <t>2019-10-01</t>
        </is>
      </c>
      <c r="B1161" t="n">
        <v>25.8321</v>
      </c>
      <c r="C1161" t="n">
        <v>35.0354</v>
      </c>
    </row>
    <row r="1162">
      <c r="A1162" t="inlineStr">
        <is>
          <t>2019-10-02</t>
        </is>
      </c>
      <c r="B1162" t="n">
        <v>25.6472</v>
      </c>
      <c r="C1162" t="n">
        <v>34.7811</v>
      </c>
    </row>
    <row r="1163">
      <c r="A1163" t="inlineStr">
        <is>
          <t>2019-10-03</t>
        </is>
      </c>
      <c r="B1163" t="n">
        <v>25.5954</v>
      </c>
      <c r="C1163" t="n">
        <v>34.7339</v>
      </c>
    </row>
    <row r="1164">
      <c r="A1164" t="inlineStr">
        <is>
          <t>2019-10-04</t>
        </is>
      </c>
      <c r="B1164" t="n">
        <v>25.5028</v>
      </c>
      <c r="C1164" t="n">
        <v>34.6389</v>
      </c>
    </row>
    <row r="1165">
      <c r="A1165" t="inlineStr">
        <is>
          <t>2019-10-07</t>
        </is>
      </c>
      <c r="B1165" t="n">
        <v>25.6192</v>
      </c>
      <c r="C1165" t="n">
        <v>34.8397</v>
      </c>
    </row>
    <row r="1166">
      <c r="A1166" t="inlineStr">
        <is>
          <t>2019-10-08</t>
        </is>
      </c>
      <c r="B1166" t="n">
        <v>25.5847</v>
      </c>
      <c r="C1166" t="n">
        <v>34.7743</v>
      </c>
    </row>
    <row r="1167">
      <c r="A1167" t="inlineStr">
        <is>
          <t>2019-10-09</t>
        </is>
      </c>
      <c r="B1167" t="n">
        <v>25.6601</v>
      </c>
      <c r="C1167" t="n">
        <v>34.9222</v>
      </c>
    </row>
    <row r="1168">
      <c r="A1168" t="inlineStr">
        <is>
          <t>2019-10-10</t>
        </is>
      </c>
      <c r="B1168" t="n">
        <v>25.5027</v>
      </c>
      <c r="C1168" t="n">
        <v>34.7064</v>
      </c>
    </row>
    <row r="1169">
      <c r="A1169" t="inlineStr">
        <is>
          <t>2019-10-11</t>
        </is>
      </c>
      <c r="B1169" t="n">
        <v>25.9072</v>
      </c>
      <c r="C1169" t="n">
        <v>35.2327</v>
      </c>
    </row>
    <row r="1170">
      <c r="A1170" t="inlineStr">
        <is>
          <t>2019-10-15</t>
        </is>
      </c>
      <c r="B1170" t="n">
        <v>25.918</v>
      </c>
      <c r="C1170" t="n">
        <v>35.2807</v>
      </c>
    </row>
    <row r="1171">
      <c r="A1171" t="inlineStr">
        <is>
          <t>2019-10-16</t>
        </is>
      </c>
      <c r="B1171" t="n">
        <v>26.0605</v>
      </c>
      <c r="C1171" t="n">
        <v>35.472</v>
      </c>
    </row>
    <row r="1172">
      <c r="A1172" t="inlineStr">
        <is>
          <t>2019-10-17</t>
        </is>
      </c>
      <c r="B1172" t="n">
        <v>25.9824</v>
      </c>
      <c r="C1172" t="n">
        <v>35.4491</v>
      </c>
    </row>
    <row r="1173">
      <c r="A1173" t="inlineStr">
        <is>
          <t>2019-10-18</t>
        </is>
      </c>
      <c r="B1173" t="n">
        <v>25.9495</v>
      </c>
      <c r="C1173" t="n">
        <v>35.4038</v>
      </c>
    </row>
    <row r="1174">
      <c r="A1174" t="inlineStr">
        <is>
          <t>2019-10-21</t>
        </is>
      </c>
      <c r="B1174" t="n">
        <v>25.7646</v>
      </c>
      <c r="C1174" t="n">
        <v>35.1479</v>
      </c>
    </row>
    <row r="1175">
      <c r="A1175" t="inlineStr">
        <is>
          <t>2019-10-22</t>
        </is>
      </c>
      <c r="B1175" t="n">
        <v>25.9231</v>
      </c>
      <c r="C1175" t="n">
        <v>35.4063</v>
      </c>
    </row>
    <row r="1176">
      <c r="A1176" t="inlineStr">
        <is>
          <t>2019-10-24</t>
        </is>
      </c>
      <c r="B1176" t="n">
        <v>25.765</v>
      </c>
      <c r="C1176" t="n">
        <v>35.2137</v>
      </c>
    </row>
    <row r="1177">
      <c r="A1177" t="inlineStr">
        <is>
          <t>2019-10-25</t>
        </is>
      </c>
      <c r="B1177" t="n">
        <v>25.3536</v>
      </c>
      <c r="C1177" t="n">
        <v>34.6592</v>
      </c>
    </row>
    <row r="1178">
      <c r="A1178" t="inlineStr">
        <is>
          <t>2019-10-28</t>
        </is>
      </c>
      <c r="B1178" t="n">
        <v>25.4458</v>
      </c>
      <c r="C1178" t="n">
        <v>34.8</v>
      </c>
    </row>
    <row r="1179">
      <c r="A1179" t="inlineStr">
        <is>
          <t>2019-10-29</t>
        </is>
      </c>
      <c r="B1179" t="n">
        <v>25.393</v>
      </c>
      <c r="C1179" t="n">
        <v>34.6632</v>
      </c>
    </row>
    <row r="1180">
      <c r="A1180" t="inlineStr">
        <is>
          <t>2019-10-30</t>
        </is>
      </c>
      <c r="B1180" t="n">
        <v>25.7215</v>
      </c>
      <c r="C1180" t="n">
        <v>34.9678</v>
      </c>
    </row>
    <row r="1181">
      <c r="A1181" t="inlineStr">
        <is>
          <t>2019-10-31</t>
        </is>
      </c>
      <c r="B1181" t="n">
        <v>25.6434</v>
      </c>
      <c r="C1181" t="n">
        <v>34.8797</v>
      </c>
    </row>
    <row r="1182">
      <c r="A1182" t="inlineStr">
        <is>
          <t>2019-11-01</t>
        </is>
      </c>
      <c r="B1182" t="n">
        <v>25.5069</v>
      </c>
      <c r="C1182" t="n">
        <v>34.7324</v>
      </c>
    </row>
    <row r="1183">
      <c r="A1183" t="inlineStr">
        <is>
          <t>2019-11-04</t>
        </is>
      </c>
      <c r="B1183" t="n">
        <v>26.0665</v>
      </c>
      <c r="C1183" t="n">
        <v>35.5043</v>
      </c>
    </row>
    <row r="1184">
      <c r="A1184" t="inlineStr">
        <is>
          <t>2019-11-05</t>
        </is>
      </c>
      <c r="B1184" t="n">
        <v>26.1769</v>
      </c>
      <c r="C1184" t="n">
        <v>35.6401</v>
      </c>
    </row>
    <row r="1185">
      <c r="A1185" t="inlineStr">
        <is>
          <t>2019-11-06</t>
        </is>
      </c>
      <c r="B1185" t="n">
        <v>26.0818</v>
      </c>
      <c r="C1185" t="n">
        <v>35.5327</v>
      </c>
    </row>
    <row r="1186">
      <c r="A1186" t="inlineStr">
        <is>
          <t>2019-11-07</t>
        </is>
      </c>
      <c r="B1186" t="n">
        <v>26.3404</v>
      </c>
      <c r="C1186" t="n">
        <v>35.9417</v>
      </c>
    </row>
    <row r="1187">
      <c r="A1187" t="inlineStr">
        <is>
          <t>2019-11-08</t>
        </is>
      </c>
      <c r="B1187" t="n">
        <v>26.2757</v>
      </c>
      <c r="C1187" t="n">
        <v>35.8556</v>
      </c>
    </row>
    <row r="1188">
      <c r="A1188" t="inlineStr">
        <is>
          <t>2019-11-11</t>
        </is>
      </c>
      <c r="B1188" t="n">
        <v>26.0618</v>
      </c>
      <c r="C1188" t="n">
        <v>35.5036</v>
      </c>
    </row>
    <row r="1189">
      <c r="A1189" t="inlineStr">
        <is>
          <t>2019-11-12</t>
        </is>
      </c>
      <c r="B1189" t="n">
        <v>26.1273</v>
      </c>
      <c r="C1189" t="n">
        <v>35.6001</v>
      </c>
    </row>
    <row r="1190">
      <c r="A1190" t="inlineStr">
        <is>
          <t>2019-11-13</t>
        </is>
      </c>
      <c r="B1190" t="n">
        <v>25.9587</v>
      </c>
      <c r="C1190" t="n">
        <v>35.3634</v>
      </c>
    </row>
    <row r="1191">
      <c r="A1191" t="inlineStr">
        <is>
          <t>2019-11-14</t>
        </is>
      </c>
      <c r="B1191" t="n">
        <v>25.8973</v>
      </c>
      <c r="C1191" t="n">
        <v>35.2681</v>
      </c>
    </row>
    <row r="1192">
      <c r="A1192" t="inlineStr">
        <is>
          <t>2019-11-15</t>
        </is>
      </c>
      <c r="B1192" t="n">
        <v>25.871</v>
      </c>
      <c r="C1192" t="n">
        <v>35.1498</v>
      </c>
    </row>
    <row r="1193">
      <c r="A1193" t="inlineStr">
        <is>
          <t>2019-11-18</t>
        </is>
      </c>
      <c r="B1193" t="n">
        <v>25.956</v>
      </c>
      <c r="C1193" t="n">
        <v>35.2791</v>
      </c>
    </row>
    <row r="1194">
      <c r="A1194" t="inlineStr">
        <is>
          <t>2019-11-19</t>
        </is>
      </c>
      <c r="B1194" t="n">
        <v>25.9248</v>
      </c>
      <c r="C1194" t="n">
        <v>35.2299</v>
      </c>
    </row>
    <row r="1195">
      <c r="A1195" t="inlineStr">
        <is>
          <t>2019-11-20</t>
        </is>
      </c>
      <c r="B1195" t="n">
        <v>25.7464</v>
      </c>
      <c r="C1195" t="n">
        <v>34.9529</v>
      </c>
    </row>
    <row r="1196">
      <c r="A1196" t="inlineStr">
        <is>
          <t>2019-11-21</t>
        </is>
      </c>
      <c r="B1196" t="n">
        <v>25.6886</v>
      </c>
      <c r="C1196" t="n">
        <v>34.869</v>
      </c>
    </row>
    <row r="1197">
      <c r="A1197" t="inlineStr">
        <is>
          <t>2019-11-22</t>
        </is>
      </c>
      <c r="B1197" t="n">
        <v>25.7656</v>
      </c>
      <c r="C1197" t="n">
        <v>35.0083</v>
      </c>
    </row>
    <row r="1198">
      <c r="A1198" t="inlineStr">
        <is>
          <t>2019-11-25</t>
        </is>
      </c>
      <c r="B1198" t="n">
        <v>26.0327</v>
      </c>
      <c r="C1198" t="n">
        <v>35.4044</v>
      </c>
    </row>
    <row r="1199">
      <c r="A1199" t="inlineStr">
        <is>
          <t>2019-11-26</t>
        </is>
      </c>
      <c r="B1199" t="n">
        <v>25.8628</v>
      </c>
      <c r="C1199" t="n">
        <v>35.2059</v>
      </c>
    </row>
    <row r="1200">
      <c r="A1200" t="inlineStr">
        <is>
          <t>2019-11-27</t>
        </is>
      </c>
      <c r="B1200" t="n">
        <v>25.866</v>
      </c>
      <c r="C1200" t="n">
        <v>35.2076</v>
      </c>
    </row>
    <row r="1201">
      <c r="A1201" t="inlineStr">
        <is>
          <t>2019-11-28</t>
        </is>
      </c>
      <c r="B1201" t="n">
        <v>25.698</v>
      </c>
      <c r="C1201" t="n">
        <v>34.9874</v>
      </c>
    </row>
    <row r="1202">
      <c r="A1202" t="inlineStr">
        <is>
          <t>2019-11-29</t>
        </is>
      </c>
      <c r="B1202" t="n">
        <v>25.537</v>
      </c>
      <c r="C1202" t="n">
        <v>34.7644</v>
      </c>
    </row>
    <row r="1203">
      <c r="A1203" t="inlineStr">
        <is>
          <t>2019-12-02</t>
        </is>
      </c>
      <c r="B1203" t="n">
        <v>25.1642</v>
      </c>
      <c r="C1203" t="n">
        <v>34.268</v>
      </c>
    </row>
    <row r="1204">
      <c r="A1204" t="inlineStr">
        <is>
          <t>2019-12-03</t>
        </is>
      </c>
      <c r="B1204" t="n">
        <v>25.1539</v>
      </c>
      <c r="C1204" t="n">
        <v>34.2504</v>
      </c>
    </row>
    <row r="1205">
      <c r="A1205" t="inlineStr">
        <is>
          <t>2019-12-04</t>
        </is>
      </c>
      <c r="B1205" t="n">
        <v>25.1677</v>
      </c>
      <c r="C1205" t="n">
        <v>34.2263</v>
      </c>
    </row>
    <row r="1206">
      <c r="A1206" t="inlineStr">
        <is>
          <t>2019-12-06</t>
        </is>
      </c>
      <c r="B1206" t="n">
        <v>25.0506</v>
      </c>
      <c r="C1206" t="n">
        <v>34.0782</v>
      </c>
    </row>
    <row r="1207">
      <c r="A1207" t="inlineStr">
        <is>
          <t>2019-12-09</t>
        </is>
      </c>
      <c r="B1207" t="n">
        <v>25.002</v>
      </c>
      <c r="C1207" t="n">
        <v>34.0194</v>
      </c>
    </row>
    <row r="1208">
      <c r="A1208" t="inlineStr">
        <is>
          <t>2019-12-11</t>
        </is>
      </c>
      <c r="B1208" t="n">
        <v>25.0501</v>
      </c>
      <c r="C1208" t="n">
        <v>34.0716</v>
      </c>
    </row>
    <row r="1209">
      <c r="A1209" t="inlineStr">
        <is>
          <t>2019-12-12</t>
        </is>
      </c>
      <c r="B1209" t="n">
        <v>25.2858</v>
      </c>
      <c r="C1209" t="n">
        <v>34.416</v>
      </c>
    </row>
    <row r="1210">
      <c r="A1210" t="inlineStr">
        <is>
          <t>2019-12-13</t>
        </is>
      </c>
      <c r="B1210" t="n">
        <v>25.4353</v>
      </c>
      <c r="C1210" t="n">
        <v>34.697</v>
      </c>
    </row>
    <row r="1211">
      <c r="A1211" t="inlineStr">
        <is>
          <t>2019-12-16</t>
        </is>
      </c>
      <c r="B1211" t="n">
        <v>24.9887</v>
      </c>
      <c r="C1211" t="n">
        <v>34.0927</v>
      </c>
    </row>
    <row r="1212">
      <c r="A1212" t="inlineStr">
        <is>
          <t>2019-12-17</t>
        </is>
      </c>
      <c r="B1212" t="n">
        <v>25.0294</v>
      </c>
      <c r="C1212" t="n">
        <v>34.1391</v>
      </c>
    </row>
    <row r="1213">
      <c r="A1213" t="inlineStr">
        <is>
          <t>2019-12-18</t>
        </is>
      </c>
      <c r="B1213" t="n">
        <v>25.3277</v>
      </c>
      <c r="C1213" t="n">
        <v>34.5586</v>
      </c>
    </row>
    <row r="1214">
      <c r="A1214" t="inlineStr">
        <is>
          <t>2019-12-19</t>
        </is>
      </c>
      <c r="B1214" t="n">
        <v>25.4643</v>
      </c>
      <c r="C1214" t="n">
        <v>34.7351</v>
      </c>
    </row>
    <row r="1215">
      <c r="A1215" t="inlineStr">
        <is>
          <t>2019-12-20</t>
        </is>
      </c>
      <c r="B1215" t="n">
        <v>25.4334</v>
      </c>
      <c r="C1215" t="n">
        <v>34.7148</v>
      </c>
    </row>
    <row r="1216">
      <c r="A1216" t="inlineStr">
        <is>
          <t>2019-12-23</t>
        </is>
      </c>
      <c r="B1216" t="n">
        <v>25.4819</v>
      </c>
      <c r="C1216" t="n">
        <v>34.766</v>
      </c>
    </row>
    <row r="1217">
      <c r="A1217" t="inlineStr">
        <is>
          <t>2019-12-24</t>
        </is>
      </c>
      <c r="B1217" t="n">
        <v>25.3765</v>
      </c>
      <c r="C1217" t="n">
        <v>34.627</v>
      </c>
    </row>
    <row r="1218">
      <c r="A1218" t="inlineStr">
        <is>
          <t>2019-12-25</t>
        </is>
      </c>
      <c r="B1218" t="n">
        <v>25.4486</v>
      </c>
      <c r="C1218" t="n">
        <v>34.7193</v>
      </c>
    </row>
    <row r="1219">
      <c r="A1219" t="inlineStr">
        <is>
          <t>2019-12-26</t>
        </is>
      </c>
      <c r="B1219" t="n">
        <v>25.5226</v>
      </c>
      <c r="C1219" t="n">
        <v>34.8056</v>
      </c>
    </row>
    <row r="1220">
      <c r="A1220" t="inlineStr">
        <is>
          <t>2019-12-27</t>
        </is>
      </c>
      <c r="B1220" t="n">
        <v>25.4817</v>
      </c>
      <c r="C1220" t="n">
        <v>34.7565</v>
      </c>
    </row>
    <row r="1221">
      <c r="A1221" t="inlineStr">
        <is>
          <t>2019-12-30</t>
        </is>
      </c>
      <c r="B1221" t="n">
        <v>25.4685</v>
      </c>
      <c r="C1221" t="n">
        <v>34.7336</v>
      </c>
    </row>
    <row r="1222">
      <c r="A1222" t="inlineStr">
        <is>
          <t>2020-01-02</t>
        </is>
      </c>
      <c r="B1222" t="n">
        <v>25.7154</v>
      </c>
      <c r="C1222" t="n">
        <v>35.1333</v>
      </c>
    </row>
    <row r="1223">
      <c r="A1223" t="inlineStr">
        <is>
          <t>2020-01-03</t>
        </is>
      </c>
      <c r="B1223" t="n">
        <v>25.6746</v>
      </c>
      <c r="C1223" t="n">
        <v>35.0852</v>
      </c>
    </row>
    <row r="1224">
      <c r="A1224" t="inlineStr">
        <is>
          <t>2020-01-06</t>
        </is>
      </c>
      <c r="B1224" t="n">
        <v>25.3532</v>
      </c>
      <c r="C1224" t="n">
        <v>34.5797</v>
      </c>
    </row>
    <row r="1225">
      <c r="A1225" t="inlineStr">
        <is>
          <t>2020-01-07</t>
        </is>
      </c>
      <c r="B1225" t="n">
        <v>25.622</v>
      </c>
      <c r="C1225" t="n">
        <v>34.9428</v>
      </c>
    </row>
    <row r="1226">
      <c r="A1226" t="inlineStr">
        <is>
          <t>2020-01-08</t>
        </is>
      </c>
      <c r="B1226" t="n">
        <v>25.2345</v>
      </c>
      <c r="C1226" t="n">
        <v>34.3668</v>
      </c>
    </row>
    <row r="1227">
      <c r="A1227" t="inlineStr">
        <is>
          <t>2020-01-09</t>
        </is>
      </c>
      <c r="B1227" t="n">
        <v>25.5348</v>
      </c>
      <c r="C1227" t="n">
        <v>34.8179</v>
      </c>
    </row>
    <row r="1228">
      <c r="A1228" t="inlineStr">
        <is>
          <t>2020-01-10</t>
        </is>
      </c>
      <c r="B1228" t="n">
        <v>25.5326</v>
      </c>
      <c r="C1228" t="n">
        <v>34.8135</v>
      </c>
    </row>
    <row r="1229">
      <c r="A1229" t="inlineStr">
        <is>
          <t>2020-01-13</t>
        </is>
      </c>
      <c r="B1229" t="n">
        <v>25.6187</v>
      </c>
      <c r="C1229" t="n">
        <v>34.9151</v>
      </c>
    </row>
    <row r="1230">
      <c r="A1230" t="inlineStr">
        <is>
          <t>2020-01-14</t>
        </is>
      </c>
      <c r="B1230" t="n">
        <v>25.6275</v>
      </c>
      <c r="C1230" t="n">
        <v>34.9095</v>
      </c>
    </row>
    <row r="1231">
      <c r="A1231" t="inlineStr">
        <is>
          <t>2020-01-15</t>
        </is>
      </c>
      <c r="B1231" t="n">
        <v>25.4784</v>
      </c>
      <c r="C1231" t="n">
        <v>34.7023</v>
      </c>
    </row>
    <row r="1232">
      <c r="A1232" t="inlineStr">
        <is>
          <t>2020-01-16</t>
        </is>
      </c>
      <c r="B1232" t="n">
        <v>25.7616</v>
      </c>
      <c r="C1232" t="n">
        <v>35.0636</v>
      </c>
    </row>
    <row r="1233">
      <c r="A1233" t="inlineStr">
        <is>
          <t>2020-01-17</t>
        </is>
      </c>
      <c r="B1233" t="n">
        <v>25.8031</v>
      </c>
      <c r="C1233" t="n">
        <v>35.1392</v>
      </c>
    </row>
    <row r="1234">
      <c r="A1234" t="inlineStr">
        <is>
          <t>2020-01-20</t>
        </is>
      </c>
      <c r="B1234" t="n">
        <v>25.6095</v>
      </c>
      <c r="C1234" t="n">
        <v>34.8379</v>
      </c>
    </row>
    <row r="1235">
      <c r="A1235" t="inlineStr">
        <is>
          <t>2020-01-21</t>
        </is>
      </c>
      <c r="B1235" t="n">
        <v>25.3761</v>
      </c>
      <c r="C1235" t="n">
        <v>34.5307</v>
      </c>
    </row>
    <row r="1236">
      <c r="A1236" t="inlineStr">
        <is>
          <t>2020-01-22</t>
        </is>
      </c>
      <c r="B1236" t="n">
        <v>25.4033</v>
      </c>
      <c r="C1236" t="n">
        <v>34.5637</v>
      </c>
    </row>
    <row r="1237">
      <c r="A1237" t="inlineStr">
        <is>
          <t>2020-01-23</t>
        </is>
      </c>
      <c r="B1237" t="n">
        <v>25.4042</v>
      </c>
      <c r="C1237" t="n">
        <v>34.548</v>
      </c>
    </row>
    <row r="1238">
      <c r="A1238" t="inlineStr">
        <is>
          <t>2020-01-24</t>
        </is>
      </c>
      <c r="B1238" t="n">
        <v>25.3462</v>
      </c>
      <c r="C1238" t="n">
        <v>34.4488</v>
      </c>
    </row>
    <row r="1239">
      <c r="A1239" t="inlineStr">
        <is>
          <t>2020-01-27</t>
        </is>
      </c>
      <c r="B1239" t="n">
        <v>24.5142</v>
      </c>
      <c r="C1239" t="n">
        <v>33.3138</v>
      </c>
    </row>
    <row r="1240">
      <c r="A1240" t="inlineStr">
        <is>
          <t>2020-01-28</t>
        </is>
      </c>
      <c r="B1240" t="n">
        <v>24.3248</v>
      </c>
      <c r="C1240" t="n">
        <v>33.068</v>
      </c>
    </row>
    <row r="1241">
      <c r="A1241" t="inlineStr">
        <is>
          <t>2020-01-29</t>
        </is>
      </c>
      <c r="B1241" t="n">
        <v>24.5579</v>
      </c>
      <c r="C1241" t="n">
        <v>33.3806</v>
      </c>
    </row>
    <row r="1242">
      <c r="A1242" t="inlineStr">
        <is>
          <t>2020-01-30</t>
        </is>
      </c>
      <c r="B1242" t="n">
        <v>24.5075</v>
      </c>
      <c r="C1242" t="n">
        <v>33.329</v>
      </c>
    </row>
    <row r="1243">
      <c r="A1243" t="inlineStr">
        <is>
          <t>2020-01-31</t>
        </is>
      </c>
      <c r="B1243" t="n">
        <v>24.3398</v>
      </c>
      <c r="C1243" t="n">
        <v>33.1126</v>
      </c>
    </row>
    <row r="1244">
      <c r="A1244" t="inlineStr">
        <is>
          <t>2020-02-03</t>
        </is>
      </c>
      <c r="B1244" t="n">
        <v>24.0383</v>
      </c>
      <c r="C1244" t="n">
        <v>32.7112</v>
      </c>
    </row>
    <row r="1245">
      <c r="A1245" t="inlineStr">
        <is>
          <t>2020-02-04</t>
        </is>
      </c>
      <c r="B1245" t="n">
        <v>24.4526</v>
      </c>
      <c r="C1245" t="n">
        <v>33.294</v>
      </c>
    </row>
    <row r="1246">
      <c r="A1246" t="inlineStr">
        <is>
          <t>2020-02-05</t>
        </is>
      </c>
      <c r="B1246" t="n">
        <v>24.6678</v>
      </c>
      <c r="C1246" t="n">
        <v>33.5838</v>
      </c>
    </row>
    <row r="1247">
      <c r="A1247" t="inlineStr">
        <is>
          <t>2020-02-06</t>
        </is>
      </c>
      <c r="B1247" t="n">
        <v>24.6407</v>
      </c>
      <c r="C1247" t="n">
        <v>33.5557</v>
      </c>
    </row>
    <row r="1248">
      <c r="A1248" t="inlineStr">
        <is>
          <t>2020-02-07</t>
        </is>
      </c>
      <c r="B1248" t="n">
        <v>24.6058</v>
      </c>
      <c r="C1248" t="n">
        <v>33.5182</v>
      </c>
    </row>
    <row r="1249">
      <c r="A1249" t="inlineStr">
        <is>
          <t>2020-02-11</t>
        </is>
      </c>
      <c r="B1249" t="n">
        <v>24.4137</v>
      </c>
      <c r="C1249" t="n">
        <v>33.2385</v>
      </c>
    </row>
    <row r="1250">
      <c r="A1250" t="inlineStr">
        <is>
          <t>2020-02-12</t>
        </is>
      </c>
      <c r="B1250" t="n">
        <v>24.7021</v>
      </c>
      <c r="C1250" t="n">
        <v>33.6266</v>
      </c>
    </row>
    <row r="1251">
      <c r="A1251" t="inlineStr">
        <is>
          <t>2020-02-13</t>
        </is>
      </c>
      <c r="B1251" t="n">
        <v>24.5635</v>
      </c>
      <c r="C1251" t="n">
        <v>33.433</v>
      </c>
    </row>
    <row r="1252">
      <c r="A1252" t="inlineStr">
        <is>
          <t>2020-02-14</t>
        </is>
      </c>
      <c r="B1252" t="n">
        <v>24.4604</v>
      </c>
      <c r="C1252" t="n">
        <v>33.2806</v>
      </c>
    </row>
    <row r="1253">
      <c r="A1253" t="inlineStr">
        <is>
          <t>2020-02-17</t>
        </is>
      </c>
      <c r="B1253" t="n">
        <v>24.5387</v>
      </c>
      <c r="C1253" t="n">
        <v>33.3812</v>
      </c>
    </row>
    <row r="1254">
      <c r="A1254" t="inlineStr">
        <is>
          <t>2020-02-18</t>
        </is>
      </c>
      <c r="B1254" t="n">
        <v>24.2905</v>
      </c>
      <c r="C1254" t="n">
        <v>33.0557</v>
      </c>
    </row>
    <row r="1255">
      <c r="A1255" t="inlineStr">
        <is>
          <t>2020-02-19</t>
        </is>
      </c>
      <c r="B1255" t="n">
        <v>24.2313</v>
      </c>
      <c r="C1255" t="n">
        <v>32.9661</v>
      </c>
    </row>
    <row r="1256">
      <c r="A1256" t="inlineStr">
        <is>
          <t>2020-02-20</t>
        </is>
      </c>
      <c r="B1256" t="n">
        <v>23.9633</v>
      </c>
      <c r="C1256" t="n">
        <v>32.5977</v>
      </c>
    </row>
    <row r="1257">
      <c r="A1257" t="inlineStr">
        <is>
          <t>2020-02-21</t>
        </is>
      </c>
      <c r="B1257" t="n">
        <v>24.072</v>
      </c>
      <c r="C1257" t="n">
        <v>32.7114</v>
      </c>
    </row>
    <row r="1258">
      <c r="A1258" t="inlineStr">
        <is>
          <t>2020-02-24</t>
        </is>
      </c>
      <c r="B1258" t="n">
        <v>23.0924</v>
      </c>
      <c r="C1258" t="n">
        <v>31.377</v>
      </c>
    </row>
    <row r="1259">
      <c r="A1259" t="inlineStr">
        <is>
          <t>2020-02-25</t>
        </is>
      </c>
      <c r="B1259" t="n">
        <v>23.2362</v>
      </c>
      <c r="C1259" t="n">
        <v>31.5624</v>
      </c>
    </row>
    <row r="1260">
      <c r="A1260" t="inlineStr">
        <is>
          <t>2020-02-26</t>
        </is>
      </c>
      <c r="B1260" t="n">
        <v>22.0984</v>
      </c>
      <c r="C1260" t="n">
        <v>29.9566</v>
      </c>
    </row>
    <row r="1261">
      <c r="A1261" t="inlineStr">
        <is>
          <t>2020-02-27</t>
        </is>
      </c>
      <c r="B1261" t="n">
        <v>22.5913</v>
      </c>
      <c r="C1261" t="n">
        <v>30.6461</v>
      </c>
    </row>
    <row r="1262">
      <c r="A1262" t="inlineStr">
        <is>
          <t>2020-02-28</t>
        </is>
      </c>
      <c r="B1262" t="n">
        <v>21.6384</v>
      </c>
      <c r="C1262" t="n">
        <v>29.3456</v>
      </c>
    </row>
    <row r="1263">
      <c r="A1263" t="inlineStr">
        <is>
          <t>2020-03-02</t>
        </is>
      </c>
      <c r="B1263" t="n">
        <v>21.6056</v>
      </c>
      <c r="C1263" t="n">
        <v>29.3487</v>
      </c>
    </row>
    <row r="1264">
      <c r="A1264" t="inlineStr">
        <is>
          <t>2020-03-03</t>
        </is>
      </c>
      <c r="B1264" t="n">
        <v>22.3355</v>
      </c>
      <c r="C1264" t="n">
        <v>30.3331</v>
      </c>
    </row>
    <row r="1265">
      <c r="A1265" t="inlineStr">
        <is>
          <t>2020-03-04</t>
        </is>
      </c>
      <c r="B1265" t="n">
        <v>22.4009</v>
      </c>
      <c r="C1265" t="n">
        <v>30.4297</v>
      </c>
    </row>
    <row r="1266">
      <c r="A1266" t="inlineStr">
        <is>
          <t>2020-03-05</t>
        </is>
      </c>
      <c r="B1266" t="n">
        <v>22.5659</v>
      </c>
      <c r="C1266" t="n">
        <v>30.655</v>
      </c>
    </row>
    <row r="1267">
      <c r="A1267" t="inlineStr">
        <is>
          <t>2020-03-06</t>
        </is>
      </c>
      <c r="B1267" t="n">
        <v>22.0696</v>
      </c>
      <c r="C1267" t="n">
        <v>29.9912</v>
      </c>
    </row>
    <row r="1268">
      <c r="A1268" t="inlineStr">
        <is>
          <t>2020-03-09</t>
        </is>
      </c>
      <c r="B1268" t="n">
        <v>19.9919</v>
      </c>
      <c r="C1268" t="n">
        <v>27.1833</v>
      </c>
    </row>
    <row r="1269">
      <c r="A1269" t="inlineStr">
        <is>
          <t>2020-03-10</t>
        </is>
      </c>
      <c r="B1269" t="n">
        <v>20.2606</v>
      </c>
      <c r="C1269" t="n">
        <v>27.5606</v>
      </c>
    </row>
    <row r="1270">
      <c r="A1270" t="inlineStr">
        <is>
          <t>2020-03-11</t>
        </is>
      </c>
      <c r="B1270" t="n">
        <v>19.8672</v>
      </c>
      <c r="C1270" t="n">
        <v>27.0391</v>
      </c>
    </row>
    <row r="1271">
      <c r="A1271" t="inlineStr">
        <is>
          <t>2020-03-12</t>
        </is>
      </c>
      <c r="B1271" t="n">
        <v>17.5687</v>
      </c>
      <c r="C1271" t="n">
        <v>23.9238</v>
      </c>
    </row>
    <row r="1272">
      <c r="A1272" t="inlineStr">
        <is>
          <t>2020-03-13</t>
        </is>
      </c>
      <c r="B1272" t="n">
        <v>18.1168</v>
      </c>
      <c r="C1272" t="n">
        <v>24.6534</v>
      </c>
    </row>
    <row r="1273">
      <c r="A1273" t="inlineStr">
        <is>
          <t>2020-03-16</t>
        </is>
      </c>
      <c r="B1273" t="n">
        <v>16.6858</v>
      </c>
      <c r="C1273" t="n">
        <v>22.7255</v>
      </c>
    </row>
    <row r="1274">
      <c r="A1274" t="inlineStr">
        <is>
          <t>2020-03-17</t>
        </is>
      </c>
      <c r="B1274" t="n">
        <v>16.5245</v>
      </c>
      <c r="C1274" t="n">
        <v>22.5251</v>
      </c>
    </row>
    <row r="1275">
      <c r="A1275" t="inlineStr">
        <is>
          <t>2020-03-18</t>
        </is>
      </c>
      <c r="B1275" t="n">
        <v>16.7561</v>
      </c>
      <c r="C1275" t="n">
        <v>22.8472</v>
      </c>
    </row>
    <row r="1276">
      <c r="A1276" t="inlineStr">
        <is>
          <t>2020-03-19</t>
        </is>
      </c>
      <c r="B1276" t="n">
        <v>16.7172</v>
      </c>
      <c r="C1276" t="n">
        <v>22.819</v>
      </c>
    </row>
    <row r="1277">
      <c r="A1277" t="inlineStr">
        <is>
          <t>2020-03-20</t>
        </is>
      </c>
      <c r="B1277" t="n">
        <v>18.2374</v>
      </c>
      <c r="C1277" t="n">
        <v>24.8952</v>
      </c>
    </row>
    <row r="1278">
      <c r="A1278" t="inlineStr">
        <is>
          <t>2020-03-23</t>
        </is>
      </c>
      <c r="B1278" t="n">
        <v>16.4492</v>
      </c>
      <c r="C1278" t="n">
        <v>22.4262</v>
      </c>
    </row>
    <row r="1279">
      <c r="A1279" t="inlineStr">
        <is>
          <t>2020-03-24</t>
        </is>
      </c>
      <c r="B1279" t="n">
        <v>16.7342</v>
      </c>
      <c r="C1279" t="n">
        <v>22.7863</v>
      </c>
    </row>
    <row r="1280">
      <c r="A1280" t="inlineStr">
        <is>
          <t>2020-03-25</t>
        </is>
      </c>
      <c r="B1280" t="n">
        <v>17.6351</v>
      </c>
      <c r="C1280" t="n">
        <v>23.9878</v>
      </c>
    </row>
    <row r="1281">
      <c r="A1281" t="inlineStr">
        <is>
          <t>2020-03-26</t>
        </is>
      </c>
      <c r="B1281" t="n">
        <v>17.8495</v>
      </c>
      <c r="C1281" t="n">
        <v>24.2851</v>
      </c>
    </row>
    <row r="1282">
      <c r="A1282" t="inlineStr">
        <is>
          <t>2020-03-27</t>
        </is>
      </c>
      <c r="B1282" t="n">
        <v>17.8878</v>
      </c>
      <c r="C1282" t="n">
        <v>24.361</v>
      </c>
    </row>
    <row r="1283">
      <c r="A1283" t="inlineStr">
        <is>
          <t>2020-03-30</t>
        </is>
      </c>
      <c r="B1283" t="n">
        <v>17.6484</v>
      </c>
      <c r="C1283" t="n">
        <v>24.0315</v>
      </c>
    </row>
    <row r="1284">
      <c r="A1284" t="inlineStr">
        <is>
          <t>2020-03-31</t>
        </is>
      </c>
      <c r="B1284" t="n">
        <v>18.2726</v>
      </c>
      <c r="C1284" t="n">
        <v>24.9002</v>
      </c>
    </row>
    <row r="1285">
      <c r="A1285" t="inlineStr">
        <is>
          <t>2020-04-01</t>
        </is>
      </c>
      <c r="B1285" t="n">
        <v>17.8757</v>
      </c>
      <c r="C1285" t="n">
        <v>24.374</v>
      </c>
    </row>
    <row r="1286">
      <c r="A1286" t="inlineStr">
        <is>
          <t>2020-04-02</t>
        </is>
      </c>
      <c r="B1286" t="n">
        <v>18.5255</v>
      </c>
      <c r="C1286" t="n">
        <v>25.2527</v>
      </c>
    </row>
    <row r="1287">
      <c r="A1287" t="inlineStr">
        <is>
          <t>2020-04-03</t>
        </is>
      </c>
      <c r="B1287" t="n">
        <v>18.4941</v>
      </c>
      <c r="C1287" t="n">
        <v>25.2185</v>
      </c>
    </row>
    <row r="1288">
      <c r="A1288" t="inlineStr">
        <is>
          <t>2020-04-07</t>
        </is>
      </c>
      <c r="B1288" t="n">
        <v>19.8969</v>
      </c>
      <c r="C1288" t="n">
        <v>27.1108</v>
      </c>
    </row>
    <row r="1289">
      <c r="A1289" t="inlineStr">
        <is>
          <t>2020-04-08</t>
        </is>
      </c>
      <c r="B1289" t="n">
        <v>19.665</v>
      </c>
      <c r="C1289" t="n">
        <v>26.8016</v>
      </c>
    </row>
    <row r="1290">
      <c r="A1290" t="inlineStr">
        <is>
          <t>2020-04-09</t>
        </is>
      </c>
      <c r="B1290" t="n">
        <v>19.7729</v>
      </c>
      <c r="C1290" t="n">
        <v>26.9411</v>
      </c>
    </row>
    <row r="1291">
      <c r="A1291" t="inlineStr">
        <is>
          <t>2020-04-10</t>
        </is>
      </c>
      <c r="B1291" t="n">
        <v>20.0711</v>
      </c>
      <c r="C1291" t="n">
        <v>27.3378</v>
      </c>
    </row>
    <row r="1292">
      <c r="A1292" t="inlineStr">
        <is>
          <t>2020-04-13</t>
        </is>
      </c>
      <c r="B1292" t="n">
        <v>20.1638</v>
      </c>
      <c r="C1292" t="n">
        <v>27.4727</v>
      </c>
    </row>
    <row r="1293">
      <c r="A1293" t="inlineStr">
        <is>
          <t>2020-04-14</t>
        </is>
      </c>
      <c r="B1293" t="n">
        <v>20.433</v>
      </c>
      <c r="C1293" t="n">
        <v>27.8675</v>
      </c>
    </row>
    <row r="1294">
      <c r="A1294" t="inlineStr">
        <is>
          <t>2020-04-15</t>
        </is>
      </c>
      <c r="B1294" t="n">
        <v>20.0482</v>
      </c>
      <c r="C1294" t="n">
        <v>27.3351</v>
      </c>
    </row>
    <row r="1295">
      <c r="A1295" t="inlineStr">
        <is>
          <t>2020-04-16</t>
        </is>
      </c>
      <c r="B1295" t="n">
        <v>19.4193</v>
      </c>
      <c r="C1295" t="n">
        <v>26.4767</v>
      </c>
    </row>
    <row r="1296">
      <c r="A1296" t="inlineStr">
        <is>
          <t>2020-04-17</t>
        </is>
      </c>
      <c r="B1296" t="n">
        <v>20.1836</v>
      </c>
      <c r="C1296" t="n">
        <v>27.5029</v>
      </c>
    </row>
    <row r="1297">
      <c r="A1297" t="inlineStr">
        <is>
          <t>2020-04-20</t>
        </is>
      </c>
      <c r="B1297" t="n">
        <v>20.7088</v>
      </c>
      <c r="C1297" t="n">
        <v>28.2103</v>
      </c>
    </row>
    <row r="1298">
      <c r="A1298" t="inlineStr">
        <is>
          <t>2020-04-21</t>
        </is>
      </c>
      <c r="B1298" t="n">
        <v>20.4298</v>
      </c>
      <c r="C1298" t="n">
        <v>27.8305</v>
      </c>
    </row>
    <row r="1299">
      <c r="A1299" t="inlineStr">
        <is>
          <t>2020-04-22</t>
        </is>
      </c>
      <c r="B1299" t="n">
        <v>20.5848</v>
      </c>
      <c r="C1299" t="n">
        <v>28.0477</v>
      </c>
    </row>
    <row r="1300">
      <c r="A1300" t="inlineStr">
        <is>
          <t>2020-04-23</t>
        </is>
      </c>
      <c r="B1300" t="n">
        <v>20.7064</v>
      </c>
      <c r="C1300" t="n">
        <v>28.2178</v>
      </c>
    </row>
    <row r="1301">
      <c r="A1301" t="inlineStr">
        <is>
          <t>2020-04-24</t>
        </is>
      </c>
      <c r="B1301" t="n">
        <v>20.425</v>
      </c>
      <c r="C1301" t="n">
        <v>27.8249</v>
      </c>
    </row>
    <row r="1302">
      <c r="A1302" t="inlineStr">
        <is>
          <t>2020-04-27</t>
        </is>
      </c>
      <c r="B1302" t="n">
        <v>20.5908</v>
      </c>
      <c r="C1302" t="n">
        <v>28.0473</v>
      </c>
    </row>
    <row r="1303">
      <c r="A1303" t="inlineStr">
        <is>
          <t>2020-04-28</t>
        </is>
      </c>
      <c r="B1303" t="n">
        <v>20.7305</v>
      </c>
      <c r="C1303" t="n">
        <v>28.2368</v>
      </c>
    </row>
    <row r="1304">
      <c r="A1304" t="inlineStr">
        <is>
          <t>2020-04-29</t>
        </is>
      </c>
      <c r="B1304" t="n">
        <v>20.8367</v>
      </c>
      <c r="C1304" t="n">
        <v>28.3776</v>
      </c>
    </row>
    <row r="1305">
      <c r="A1305" t="inlineStr">
        <is>
          <t>2020-04-30</t>
        </is>
      </c>
      <c r="B1305" t="n">
        <v>21.2305</v>
      </c>
      <c r="C1305" t="n">
        <v>28.9064</v>
      </c>
    </row>
    <row r="1306">
      <c r="A1306" t="inlineStr">
        <is>
          <t>2020-05-05</t>
        </is>
      </c>
      <c r="B1306" t="n">
        <v>20.8134</v>
      </c>
      <c r="C1306" t="n">
        <v>28.3513</v>
      </c>
    </row>
    <row r="1307">
      <c r="A1307" t="inlineStr">
        <is>
          <t>2020-05-07</t>
        </is>
      </c>
      <c r="B1307" t="n">
        <v>20.4919</v>
      </c>
      <c r="C1307" t="n">
        <v>27.9048</v>
      </c>
    </row>
    <row r="1308">
      <c r="A1308" t="inlineStr">
        <is>
          <t>2020-05-08</t>
        </is>
      </c>
      <c r="B1308" t="n">
        <v>20.6363</v>
      </c>
      <c r="C1308" t="n">
        <v>28.0905</v>
      </c>
    </row>
    <row r="1309">
      <c r="A1309" t="inlineStr">
        <is>
          <t>2020-05-11</t>
        </is>
      </c>
      <c r="B1309" t="n">
        <v>21.0101</v>
      </c>
      <c r="C1309" t="n">
        <v>28.6157</v>
      </c>
    </row>
    <row r="1310">
      <c r="A1310" t="inlineStr">
        <is>
          <t>2020-05-12</t>
        </is>
      </c>
      <c r="B1310" t="n">
        <v>21.1981</v>
      </c>
      <c r="C1310" t="n">
        <v>28.887</v>
      </c>
    </row>
    <row r="1311">
      <c r="A1311" t="inlineStr">
        <is>
          <t>2020-05-13</t>
        </is>
      </c>
      <c r="B1311" t="n">
        <v>21.0584</v>
      </c>
      <c r="C1311" t="n">
        <v>28.7089</v>
      </c>
    </row>
    <row r="1312">
      <c r="A1312" t="inlineStr">
        <is>
          <t>2020-05-14</t>
        </is>
      </c>
      <c r="B1312" t="n">
        <v>20.7734</v>
      </c>
      <c r="C1312" t="n">
        <v>28.343</v>
      </c>
    </row>
    <row r="1313">
      <c r="A1313" t="inlineStr">
        <is>
          <t>2020-05-15</t>
        </is>
      </c>
      <c r="B1313" t="n">
        <v>20.7241</v>
      </c>
      <c r="C1313" t="n">
        <v>28.2946</v>
      </c>
    </row>
    <row r="1314">
      <c r="A1314" t="inlineStr">
        <is>
          <t>2020-05-18</t>
        </is>
      </c>
      <c r="B1314" t="n">
        <v>20.2727</v>
      </c>
      <c r="C1314" t="n">
        <v>28.4351</v>
      </c>
    </row>
    <row r="1315">
      <c r="A1315" t="inlineStr">
        <is>
          <t>2020-05-19</t>
        </is>
      </c>
      <c r="B1315" t="n">
        <v>20.6737</v>
      </c>
      <c r="C1315" t="n">
        <v>28.9732</v>
      </c>
    </row>
    <row r="1316">
      <c r="A1316" t="inlineStr">
        <is>
          <t>2020-05-20</t>
        </is>
      </c>
      <c r="B1316" t="n">
        <v>20.8547</v>
      </c>
      <c r="C1316" t="n">
        <v>29.2276</v>
      </c>
    </row>
    <row r="1317">
      <c r="A1317" t="inlineStr">
        <is>
          <t>2020-05-21</t>
        </is>
      </c>
      <c r="B1317" t="n">
        <v>20.8324</v>
      </c>
      <c r="C1317" t="n">
        <v>29.1883</v>
      </c>
    </row>
    <row r="1318">
      <c r="A1318" t="inlineStr">
        <is>
          <t>2020-05-22</t>
        </is>
      </c>
      <c r="B1318" t="n">
        <v>20.4914</v>
      </c>
      <c r="C1318" t="n">
        <v>28.7254</v>
      </c>
    </row>
    <row r="1319">
      <c r="A1319" t="inlineStr">
        <is>
          <t>2020-05-25</t>
        </is>
      </c>
      <c r="B1319" t="n">
        <v>20.732</v>
      </c>
      <c r="C1319" t="n">
        <v>29.0605</v>
      </c>
    </row>
    <row r="1320">
      <c r="A1320" t="inlineStr">
        <is>
          <t>2020-05-26</t>
        </is>
      </c>
      <c r="B1320" t="n">
        <v>20.9839</v>
      </c>
      <c r="C1320" t="n">
        <v>29.4057</v>
      </c>
    </row>
    <row r="1321">
      <c r="A1321" t="inlineStr">
        <is>
          <t>2020-05-27</t>
        </is>
      </c>
      <c r="B1321" t="n">
        <v>21.1364</v>
      </c>
      <c r="C1321" t="n">
        <v>29.6233</v>
      </c>
    </row>
    <row r="1322">
      <c r="A1322" t="inlineStr">
        <is>
          <t>2020-05-28</t>
        </is>
      </c>
      <c r="B1322" t="n">
        <v>20.9926</v>
      </c>
      <c r="C1322" t="n">
        <v>29.4267</v>
      </c>
    </row>
    <row r="1323">
      <c r="A1323" t="inlineStr">
        <is>
          <t>2020-05-29</t>
        </is>
      </c>
      <c r="B1323" t="n">
        <v>21.1793</v>
      </c>
      <c r="C1323" t="n">
        <v>29.6625</v>
      </c>
    </row>
    <row r="1324">
      <c r="A1324" t="inlineStr">
        <is>
          <t>2020-06-01</t>
        </is>
      </c>
      <c r="B1324" t="n">
        <v>21.3038</v>
      </c>
      <c r="C1324" t="n">
        <v>29.8408</v>
      </c>
    </row>
    <row r="1325">
      <c r="A1325" t="inlineStr">
        <is>
          <t>2020-06-02</t>
        </is>
      </c>
      <c r="B1325" t="n">
        <v>21.7168</v>
      </c>
      <c r="C1325" t="n">
        <v>30.4195</v>
      </c>
    </row>
    <row r="1326">
      <c r="A1326" t="inlineStr">
        <is>
          <t>2020-06-04</t>
        </is>
      </c>
      <c r="B1326" t="n">
        <v>22.3761</v>
      </c>
      <c r="C1326" t="n">
        <v>31.3263</v>
      </c>
    </row>
    <row r="1327">
      <c r="A1327" t="inlineStr">
        <is>
          <t>2020-06-05</t>
        </is>
      </c>
      <c r="B1327" t="n">
        <v>22.8212</v>
      </c>
      <c r="C1327" t="n">
        <v>31.9312</v>
      </c>
    </row>
    <row r="1328">
      <c r="A1328" t="inlineStr">
        <is>
          <t>2020-06-08</t>
        </is>
      </c>
      <c r="B1328" t="n">
        <v>22.8187</v>
      </c>
      <c r="C1328" t="n">
        <v>31.9179</v>
      </c>
    </row>
    <row r="1329">
      <c r="A1329" t="inlineStr">
        <is>
          <t>2020-06-09</t>
        </is>
      </c>
      <c r="B1329" t="n">
        <v>22.2619</v>
      </c>
      <c r="C1329" t="n">
        <v>31.1453</v>
      </c>
    </row>
    <row r="1330">
      <c r="A1330" t="inlineStr">
        <is>
          <t>2020-06-10</t>
        </is>
      </c>
      <c r="B1330" t="n">
        <v>22.4559</v>
      </c>
      <c r="C1330" t="n">
        <v>31.4182</v>
      </c>
    </row>
    <row r="1331">
      <c r="A1331" t="inlineStr">
        <is>
          <t>2020-06-11</t>
        </is>
      </c>
      <c r="B1331" t="n">
        <v>22.0348</v>
      </c>
      <c r="C1331" t="n">
        <v>30.8374</v>
      </c>
    </row>
    <row r="1332">
      <c r="A1332" t="inlineStr">
        <is>
          <t>2020-06-12</t>
        </is>
      </c>
      <c r="B1332" t="n">
        <v>21.7627</v>
      </c>
      <c r="C1332" t="n">
        <v>30.4471</v>
      </c>
    </row>
    <row r="1333">
      <c r="A1333" t="inlineStr">
        <is>
          <t>2020-06-15</t>
        </is>
      </c>
      <c r="B1333" t="n">
        <v>21.0498</v>
      </c>
      <c r="C1333" t="n">
        <v>29.4571</v>
      </c>
    </row>
    <row r="1334">
      <c r="A1334" t="inlineStr">
        <is>
          <t>2020-06-16</t>
        </is>
      </c>
      <c r="B1334" t="n">
        <v>21.5455</v>
      </c>
      <c r="C1334" t="n">
        <v>30.0965</v>
      </c>
    </row>
    <row r="1335">
      <c r="A1335" t="inlineStr">
        <is>
          <t>2020-06-17</t>
        </is>
      </c>
      <c r="B1335" t="n">
        <v>21.6563</v>
      </c>
      <c r="C1335" t="n">
        <v>30.2631</v>
      </c>
    </row>
    <row r="1336">
      <c r="A1336" t="inlineStr">
        <is>
          <t>2020-06-18</t>
        </is>
      </c>
      <c r="B1336" t="n">
        <v>21.565</v>
      </c>
      <c r="C1336" t="n">
        <v>30.1375</v>
      </c>
    </row>
    <row r="1337">
      <c r="A1337" t="inlineStr">
        <is>
          <t>2020-06-19</t>
        </is>
      </c>
      <c r="B1337" t="n">
        <v>21.4879</v>
      </c>
      <c r="C1337" t="n">
        <v>30.0412</v>
      </c>
    </row>
    <row r="1338">
      <c r="A1338" t="inlineStr">
        <is>
          <t>2020-06-22</t>
        </is>
      </c>
      <c r="B1338" t="n">
        <v>21.1559</v>
      </c>
      <c r="C1338" t="n">
        <v>29.5912</v>
      </c>
    </row>
    <row r="1339">
      <c r="A1339" t="inlineStr">
        <is>
          <t>2020-06-23</t>
        </is>
      </c>
      <c r="B1339" t="n">
        <v>21.243</v>
      </c>
      <c r="C1339" t="n">
        <v>29.7027</v>
      </c>
    </row>
    <row r="1340">
      <c r="A1340" t="inlineStr">
        <is>
          <t>2020-06-24</t>
        </is>
      </c>
      <c r="B1340" t="n">
        <v>20.8355</v>
      </c>
      <c r="C1340" t="n">
        <v>29.1381</v>
      </c>
    </row>
    <row r="1341">
      <c r="A1341" t="inlineStr">
        <is>
          <t>2020-06-25</t>
        </is>
      </c>
      <c r="B1341" t="n">
        <v>20.7135</v>
      </c>
      <c r="C1341" t="n">
        <v>28.9676</v>
      </c>
    </row>
    <row r="1342">
      <c r="A1342" t="inlineStr">
        <is>
          <t>2020-06-26</t>
        </is>
      </c>
      <c r="B1342" t="n">
        <v>20.7998</v>
      </c>
      <c r="C1342" t="n">
        <v>29.0862</v>
      </c>
    </row>
    <row r="1343">
      <c r="A1343" t="inlineStr">
        <is>
          <t>2020-06-29</t>
        </is>
      </c>
      <c r="B1343" t="n">
        <v>20.7987</v>
      </c>
      <c r="C1343" t="n">
        <v>29.0859</v>
      </c>
    </row>
    <row r="1344">
      <c r="A1344" t="inlineStr">
        <is>
          <t>2020-06-30</t>
        </is>
      </c>
      <c r="B1344" t="n">
        <v>20.9509</v>
      </c>
      <c r="C1344" t="n">
        <v>29.2901</v>
      </c>
    </row>
    <row r="1345">
      <c r="A1345" t="inlineStr">
        <is>
          <t>2020-07-01</t>
        </is>
      </c>
      <c r="B1345" t="n">
        <v>21.1187</v>
      </c>
      <c r="C1345" t="n">
        <v>29.5241</v>
      </c>
    </row>
    <row r="1346">
      <c r="A1346" t="inlineStr">
        <is>
          <t>2020-07-02</t>
        </is>
      </c>
      <c r="B1346" t="n">
        <v>21.5923</v>
      </c>
      <c r="C1346" t="n">
        <v>30.1777</v>
      </c>
    </row>
    <row r="1347">
      <c r="A1347" t="inlineStr">
        <is>
          <t>2020-07-03</t>
        </is>
      </c>
      <c r="B1347" t="n">
        <v>21.5061</v>
      </c>
      <c r="C1347" t="n">
        <v>30.0561</v>
      </c>
    </row>
    <row r="1348">
      <c r="A1348" t="inlineStr">
        <is>
          <t>2020-07-07</t>
        </is>
      </c>
      <c r="B1348" t="n">
        <v>21.4965</v>
      </c>
      <c r="C1348" t="n">
        <v>30.0343</v>
      </c>
    </row>
    <row r="1349">
      <c r="A1349" t="inlineStr">
        <is>
          <t>2020-07-08</t>
        </is>
      </c>
      <c r="B1349" t="n">
        <v>21.2671</v>
      </c>
      <c r="C1349" t="n">
        <v>29.7247</v>
      </c>
    </row>
    <row r="1350">
      <c r="A1350" t="inlineStr">
        <is>
          <t>2020-07-09</t>
        </is>
      </c>
      <c r="B1350" t="n">
        <v>21.2958</v>
      </c>
      <c r="C1350" t="n">
        <v>29.7761</v>
      </c>
    </row>
    <row r="1351">
      <c r="A1351" t="inlineStr">
        <is>
          <t>2020-07-10</t>
        </is>
      </c>
      <c r="B1351" t="n">
        <v>20.955</v>
      </c>
      <c r="C1351" t="n">
        <v>29.3142</v>
      </c>
    </row>
    <row r="1352">
      <c r="A1352" t="inlineStr">
        <is>
          <t>2020-07-13</t>
        </is>
      </c>
      <c r="B1352" t="n">
        <v>20.7918</v>
      </c>
      <c r="C1352" t="n">
        <v>29.0864</v>
      </c>
    </row>
    <row r="1353">
      <c r="A1353" t="inlineStr">
        <is>
          <t>2020-07-14</t>
        </is>
      </c>
      <c r="B1353" t="n">
        <v>20.8041</v>
      </c>
      <c r="C1353" t="n">
        <v>29.1044</v>
      </c>
    </row>
    <row r="1354">
      <c r="A1354" t="inlineStr">
        <is>
          <t>2020-07-15</t>
        </is>
      </c>
      <c r="B1354" t="n">
        <v>21.035</v>
      </c>
      <c r="C1354" t="n">
        <v>29.4283</v>
      </c>
    </row>
    <row r="1355">
      <c r="A1355" t="inlineStr">
        <is>
          <t>2020-07-16</t>
        </is>
      </c>
      <c r="B1355" t="n">
        <v>20.8906</v>
      </c>
      <c r="C1355" t="n">
        <v>29.2371</v>
      </c>
    </row>
    <row r="1356">
      <c r="A1356" t="inlineStr">
        <is>
          <t>2020-07-17</t>
        </is>
      </c>
      <c r="B1356" t="n">
        <v>21.1016</v>
      </c>
      <c r="C1356" t="n">
        <v>29.5304</v>
      </c>
    </row>
    <row r="1357">
      <c r="A1357" t="inlineStr">
        <is>
          <t>2020-07-20</t>
        </is>
      </c>
      <c r="B1357" t="n">
        <v>21.0488</v>
      </c>
      <c r="C1357" t="n">
        <v>29.4614</v>
      </c>
    </row>
    <row r="1358">
      <c r="A1358" t="inlineStr">
        <is>
          <t>2020-07-21</t>
        </is>
      </c>
      <c r="B1358" t="n">
        <v>21.3807</v>
      </c>
      <c r="C1358" t="n">
        <v>29.9248</v>
      </c>
    </row>
    <row r="1359">
      <c r="A1359" t="inlineStr">
        <is>
          <t>2020-07-22</t>
        </is>
      </c>
      <c r="B1359" t="n">
        <v>21.034</v>
      </c>
      <c r="C1359" t="n">
        <v>29.4395</v>
      </c>
    </row>
    <row r="1360">
      <c r="A1360" t="inlineStr">
        <is>
          <t>2020-07-23</t>
        </is>
      </c>
      <c r="B1360" t="n">
        <v>21.0595</v>
      </c>
      <c r="C1360" t="n">
        <v>29.4788</v>
      </c>
    </row>
    <row r="1361">
      <c r="A1361" t="inlineStr">
        <is>
          <t>2020-07-24</t>
        </is>
      </c>
      <c r="B1361" t="n">
        <v>20.7036</v>
      </c>
      <c r="C1361" t="n">
        <v>28.9855</v>
      </c>
    </row>
    <row r="1362">
      <c r="A1362" t="inlineStr">
        <is>
          <t>2020-07-29</t>
        </is>
      </c>
      <c r="B1362" t="n">
        <v>20.6119</v>
      </c>
      <c r="C1362" t="n">
        <v>28.8563</v>
      </c>
    </row>
    <row r="1363">
      <c r="A1363" t="inlineStr">
        <is>
          <t>2020-07-30</t>
        </is>
      </c>
      <c r="B1363" t="n">
        <v>20.2115</v>
      </c>
      <c r="C1363" t="n">
        <v>28.2878</v>
      </c>
    </row>
    <row r="1364">
      <c r="A1364" t="inlineStr">
        <is>
          <t>2020-07-31</t>
        </is>
      </c>
      <c r="B1364" t="n">
        <v>20.4228</v>
      </c>
      <c r="C1364" t="n">
        <v>28.5777</v>
      </c>
    </row>
    <row r="1365">
      <c r="A1365" t="inlineStr">
        <is>
          <t>2020-08-03</t>
        </is>
      </c>
      <c r="B1365" t="n">
        <v>20.1792</v>
      </c>
      <c r="C1365" t="n">
        <v>28.2408</v>
      </c>
    </row>
    <row r="1366">
      <c r="A1366" t="inlineStr">
        <is>
          <t>2020-08-04</t>
        </is>
      </c>
      <c r="B1366" t="n">
        <v>20.3535</v>
      </c>
      <c r="C1366" t="n">
        <v>28.4937</v>
      </c>
    </row>
    <row r="1367">
      <c r="A1367" t="inlineStr">
        <is>
          <t>2020-08-05</t>
        </is>
      </c>
      <c r="B1367" t="n">
        <v>20.4835</v>
      </c>
      <c r="C1367" t="n">
        <v>28.6625</v>
      </c>
    </row>
    <row r="1368">
      <c r="A1368" t="inlineStr">
        <is>
          <t>2020-08-06</t>
        </is>
      </c>
      <c r="B1368" t="n">
        <v>20.4474</v>
      </c>
      <c r="C1368" t="n">
        <v>28.6195</v>
      </c>
    </row>
    <row r="1369">
      <c r="A1369" t="inlineStr">
        <is>
          <t>2020-08-07</t>
        </is>
      </c>
      <c r="B1369" t="n">
        <v>20.2733</v>
      </c>
      <c r="C1369" t="n">
        <v>28.3833</v>
      </c>
    </row>
    <row r="1370">
      <c r="A1370" t="inlineStr">
        <is>
          <t>2020-08-10</t>
        </is>
      </c>
      <c r="B1370" t="n">
        <v>20.2042</v>
      </c>
      <c r="C1370" t="n">
        <v>28.2847</v>
      </c>
    </row>
    <row r="1371">
      <c r="A1371" t="inlineStr">
        <is>
          <t>2020-08-11</t>
        </is>
      </c>
      <c r="B1371" t="n">
        <v>20.507</v>
      </c>
      <c r="C1371" t="n">
        <v>28.7116</v>
      </c>
    </row>
    <row r="1372">
      <c r="A1372" t="inlineStr">
        <is>
          <t>2020-08-13</t>
        </is>
      </c>
      <c r="B1372" t="n">
        <v>20.817</v>
      </c>
      <c r="C1372" t="n">
        <v>29.1405</v>
      </c>
    </row>
    <row r="1373">
      <c r="A1373" t="inlineStr">
        <is>
          <t>2020-08-14</t>
        </is>
      </c>
      <c r="B1373" t="n">
        <v>20.4602</v>
      </c>
      <c r="C1373" t="n">
        <v>28.6441</v>
      </c>
    </row>
    <row r="1374">
      <c r="A1374" t="inlineStr">
        <is>
          <t>2020-08-17</t>
        </is>
      </c>
      <c r="B1374" t="n">
        <v>20.4029</v>
      </c>
      <c r="C1374" t="n">
        <v>28.5622</v>
      </c>
    </row>
    <row r="1375">
      <c r="A1375" t="inlineStr">
        <is>
          <t>2020-08-18</t>
        </is>
      </c>
      <c r="B1375" t="n">
        <v>20.5575</v>
      </c>
      <c r="C1375" t="n">
        <v>28.7799</v>
      </c>
    </row>
    <row r="1376">
      <c r="A1376" t="inlineStr">
        <is>
          <t>2020-08-19</t>
        </is>
      </c>
      <c r="B1376" t="n">
        <v>20.1729</v>
      </c>
      <c r="C1376" t="n">
        <v>28.2416</v>
      </c>
    </row>
    <row r="1377">
      <c r="A1377" t="inlineStr">
        <is>
          <t>2020-08-20</t>
        </is>
      </c>
      <c r="B1377" t="n">
        <v>19.9387</v>
      </c>
      <c r="C1377" t="n">
        <v>27.9125</v>
      </c>
    </row>
    <row r="1378">
      <c r="A1378" t="inlineStr">
        <is>
          <t>2020-08-21</t>
        </is>
      </c>
      <c r="B1378" t="n">
        <v>19.9316</v>
      </c>
      <c r="C1378" t="n">
        <v>27.9069</v>
      </c>
    </row>
    <row r="1379">
      <c r="A1379" t="inlineStr">
        <is>
          <t>2020-08-24</t>
        </is>
      </c>
      <c r="B1379" t="n">
        <v>20.2205</v>
      </c>
      <c r="C1379" t="n">
        <v>28.3044</v>
      </c>
    </row>
    <row r="1380">
      <c r="A1380" t="inlineStr">
        <is>
          <t>2020-08-25</t>
        </is>
      </c>
      <c r="B1380" t="n">
        <v>20.265</v>
      </c>
      <c r="C1380" t="n">
        <v>28.3606</v>
      </c>
    </row>
    <row r="1381">
      <c r="A1381" t="inlineStr">
        <is>
          <t>2020-08-26</t>
        </is>
      </c>
      <c r="B1381" t="n">
        <v>20.3328</v>
      </c>
      <c r="C1381" t="n">
        <v>28.4584</v>
      </c>
    </row>
    <row r="1382">
      <c r="A1382" t="inlineStr">
        <is>
          <t>2020-08-27</t>
        </is>
      </c>
      <c r="B1382" t="n">
        <v>20.3846</v>
      </c>
      <c r="C1382" t="n">
        <v>28.5422</v>
      </c>
    </row>
    <row r="1383">
      <c r="A1383" t="inlineStr">
        <is>
          <t>2020-08-28</t>
        </is>
      </c>
      <c r="B1383" t="n">
        <v>20.3119</v>
      </c>
      <c r="C1383" t="n">
        <v>28.4427</v>
      </c>
    </row>
    <row r="1384">
      <c r="A1384" t="inlineStr">
        <is>
          <t>2020-08-31</t>
        </is>
      </c>
      <c r="B1384" t="n">
        <v>20.0528</v>
      </c>
      <c r="C1384" t="n">
        <v>28.0754</v>
      </c>
    </row>
    <row r="1385">
      <c r="A1385" t="inlineStr">
        <is>
          <t>2020-09-01</t>
        </is>
      </c>
      <c r="B1385" t="n">
        <v>19.9976</v>
      </c>
      <c r="C1385" t="n">
        <v>27.9931</v>
      </c>
    </row>
    <row r="1386">
      <c r="A1386" t="inlineStr">
        <is>
          <t>2020-09-02</t>
        </is>
      </c>
      <c r="B1386" t="n">
        <v>20.1457</v>
      </c>
      <c r="C1386" t="n">
        <v>28.1949</v>
      </c>
    </row>
    <row r="1387">
      <c r="A1387" t="inlineStr">
        <is>
          <t>2020-09-03</t>
        </is>
      </c>
      <c r="B1387" t="n">
        <v>20.0776</v>
      </c>
      <c r="C1387" t="n">
        <v>28.1017</v>
      </c>
    </row>
    <row r="1388">
      <c r="A1388" t="inlineStr">
        <is>
          <t>2020-09-08</t>
        </is>
      </c>
      <c r="B1388" t="n">
        <v>19.8003</v>
      </c>
      <c r="C1388" t="n">
        <v>27.7172</v>
      </c>
    </row>
    <row r="1389">
      <c r="A1389" t="inlineStr">
        <is>
          <t>2020-09-09</t>
        </is>
      </c>
      <c r="B1389" t="n">
        <v>19.7721</v>
      </c>
      <c r="C1389" t="n">
        <v>27.6716</v>
      </c>
    </row>
    <row r="1390">
      <c r="A1390" t="inlineStr">
        <is>
          <t>2020-09-10</t>
        </is>
      </c>
      <c r="B1390" t="n">
        <v>19.7383</v>
      </c>
      <c r="C1390" t="n">
        <v>27.632</v>
      </c>
    </row>
    <row r="1391">
      <c r="A1391" t="inlineStr">
        <is>
          <t>2020-09-11</t>
        </is>
      </c>
      <c r="B1391" t="n">
        <v>19.5787</v>
      </c>
      <c r="C1391" t="n">
        <v>27.413</v>
      </c>
    </row>
    <row r="1392">
      <c r="A1392" t="inlineStr">
        <is>
          <t>2020-09-14</t>
        </is>
      </c>
      <c r="B1392" t="n">
        <v>19.4551</v>
      </c>
      <c r="C1392" t="n">
        <v>27.2397</v>
      </c>
    </row>
    <row r="1393">
      <c r="A1393" t="inlineStr">
        <is>
          <t>2020-09-15</t>
        </is>
      </c>
      <c r="B1393" t="n">
        <v>19.6717</v>
      </c>
      <c r="C1393" t="n">
        <v>27.5341</v>
      </c>
    </row>
    <row r="1394">
      <c r="A1394" t="inlineStr">
        <is>
          <t>2020-09-16</t>
        </is>
      </c>
      <c r="B1394" t="n">
        <v>19.7957</v>
      </c>
      <c r="C1394" t="n">
        <v>27.7123</v>
      </c>
    </row>
    <row r="1395">
      <c r="A1395" t="inlineStr">
        <is>
          <t>2020-09-17</t>
        </is>
      </c>
      <c r="B1395" t="n">
        <v>19.63</v>
      </c>
      <c r="C1395" t="n">
        <v>27.4747</v>
      </c>
    </row>
    <row r="1396">
      <c r="A1396" t="inlineStr">
        <is>
          <t>2020-09-18</t>
        </is>
      </c>
      <c r="B1396" t="n">
        <v>19.6452</v>
      </c>
      <c r="C1396" t="n">
        <v>27.5136</v>
      </c>
    </row>
    <row r="1397">
      <c r="A1397" t="inlineStr">
        <is>
          <t>2020-09-21</t>
        </is>
      </c>
      <c r="B1397" t="n">
        <v>19.3809</v>
      </c>
      <c r="C1397" t="n">
        <v>27.1478</v>
      </c>
    </row>
    <row r="1398">
      <c r="A1398" t="inlineStr">
        <is>
          <t>2020-09-22</t>
        </is>
      </c>
      <c r="B1398" t="n">
        <v>19.2126</v>
      </c>
      <c r="C1398" t="n">
        <v>26.9173</v>
      </c>
    </row>
    <row r="1399">
      <c r="A1399" t="inlineStr">
        <is>
          <t>2020-09-23</t>
        </is>
      </c>
      <c r="B1399" t="n">
        <v>19.0537</v>
      </c>
      <c r="C1399" t="n">
        <v>26.7018</v>
      </c>
    </row>
    <row r="1400">
      <c r="A1400" t="inlineStr">
        <is>
          <t>2020-09-24</t>
        </is>
      </c>
      <c r="B1400" t="n">
        <v>18.6921</v>
      </c>
      <c r="C1400" t="n">
        <v>26.2029</v>
      </c>
    </row>
    <row r="1401">
      <c r="A1401" t="inlineStr">
        <is>
          <t>2020-09-25</t>
        </is>
      </c>
      <c r="B1401" t="n">
        <v>18.6662</v>
      </c>
      <c r="C1401" t="n">
        <v>26.1635</v>
      </c>
    </row>
    <row r="1402">
      <c r="A1402" t="inlineStr">
        <is>
          <t>2020-09-28</t>
        </is>
      </c>
      <c r="B1402" t="n">
        <v>19.0499</v>
      </c>
      <c r="C1402" t="n">
        <v>26.6925</v>
      </c>
    </row>
    <row r="1403">
      <c r="A1403" t="inlineStr">
        <is>
          <t>2020-09-29</t>
        </is>
      </c>
      <c r="B1403" t="n">
        <v>18.9218</v>
      </c>
      <c r="C1403" t="n">
        <v>26.5079</v>
      </c>
    </row>
    <row r="1404">
      <c r="A1404" t="inlineStr">
        <is>
          <t>2020-09-30</t>
        </is>
      </c>
      <c r="B1404" t="n">
        <v>18.5721</v>
      </c>
      <c r="C1404" t="n">
        <v>26.0152</v>
      </c>
    </row>
    <row r="1405">
      <c r="A1405" t="inlineStr">
        <is>
          <t>2020-10-01</t>
        </is>
      </c>
      <c r="B1405" t="n">
        <v>18.7246</v>
      </c>
      <c r="C1405" t="n">
        <v>26.2433</v>
      </c>
    </row>
    <row r="1406">
      <c r="A1406" t="inlineStr">
        <is>
          <t>2020-10-02</t>
        </is>
      </c>
      <c r="B1406" t="n">
        <v>18.4646</v>
      </c>
      <c r="C1406" t="n">
        <v>25.8899</v>
      </c>
    </row>
    <row r="1407">
      <c r="A1407" t="inlineStr">
        <is>
          <t>2020-10-05</t>
        </is>
      </c>
      <c r="B1407" t="n">
        <v>18.5693</v>
      </c>
      <c r="C1407" t="n">
        <v>26.0362</v>
      </c>
    </row>
    <row r="1408">
      <c r="A1408" t="inlineStr">
        <is>
          <t>2020-10-06</t>
        </is>
      </c>
      <c r="B1408" t="n">
        <v>18.706</v>
      </c>
      <c r="C1408" t="n">
        <v>26.2257</v>
      </c>
    </row>
    <row r="1409">
      <c r="A1409" t="inlineStr">
        <is>
          <t>2020-10-07</t>
        </is>
      </c>
      <c r="B1409" t="n">
        <v>18.9344</v>
      </c>
      <c r="C1409" t="n">
        <v>26.5488</v>
      </c>
    </row>
    <row r="1410">
      <c r="A1410" t="inlineStr">
        <is>
          <t>2020-10-08</t>
        </is>
      </c>
      <c r="B1410" t="n">
        <v>19.1148</v>
      </c>
      <c r="C1410" t="n">
        <v>26.7998</v>
      </c>
    </row>
    <row r="1411">
      <c r="A1411" t="inlineStr">
        <is>
          <t>2020-10-09</t>
        </is>
      </c>
      <c r="B1411" t="n">
        <v>19.0305</v>
      </c>
      <c r="C1411" t="n">
        <v>26.6615</v>
      </c>
    </row>
    <row r="1412">
      <c r="A1412" t="inlineStr">
        <is>
          <t>2020-10-12</t>
        </is>
      </c>
      <c r="B1412" t="n">
        <v>19.1184</v>
      </c>
      <c r="C1412" t="n">
        <v>26.7849</v>
      </c>
    </row>
    <row r="1413">
      <c r="A1413" t="inlineStr">
        <is>
          <t>2020-10-14</t>
        </is>
      </c>
      <c r="B1413" t="n">
        <v>18.8872</v>
      </c>
      <c r="C1413" t="n">
        <v>26.46</v>
      </c>
    </row>
    <row r="1414">
      <c r="A1414" t="inlineStr">
        <is>
          <t>2020-10-15</t>
        </is>
      </c>
      <c r="B1414" t="n">
        <v>18.5777</v>
      </c>
      <c r="C1414" t="n">
        <v>26.0363</v>
      </c>
    </row>
    <row r="1415">
      <c r="A1415" t="inlineStr">
        <is>
          <t>2020-10-16</t>
        </is>
      </c>
      <c r="B1415" t="n">
        <v>18.4565</v>
      </c>
      <c r="C1415" t="n">
        <v>25.8547</v>
      </c>
    </row>
    <row r="1416">
      <c r="A1416" t="inlineStr">
        <is>
          <t>2020-10-19</t>
        </is>
      </c>
      <c r="B1416" t="n">
        <v>18.0807</v>
      </c>
      <c r="C1416" t="n">
        <v>25.3398</v>
      </c>
    </row>
    <row r="1417">
      <c r="A1417" t="inlineStr">
        <is>
          <t>2020-10-20</t>
        </is>
      </c>
      <c r="B1417" t="n">
        <v>18.0816</v>
      </c>
      <c r="C1417" t="n">
        <v>25.331</v>
      </c>
    </row>
    <row r="1418">
      <c r="A1418" t="inlineStr">
        <is>
          <t>2020-10-21</t>
        </is>
      </c>
      <c r="B1418" t="n">
        <v>18.1903</v>
      </c>
      <c r="C1418" t="n">
        <v>25.4764</v>
      </c>
    </row>
    <row r="1419">
      <c r="A1419" t="inlineStr">
        <is>
          <t>2020-10-22</t>
        </is>
      </c>
      <c r="B1419" t="n">
        <v>18.1257</v>
      </c>
      <c r="C1419" t="n">
        <v>25.3957</v>
      </c>
    </row>
    <row r="1420">
      <c r="A1420" t="inlineStr">
        <is>
          <t>2020-10-26</t>
        </is>
      </c>
      <c r="B1420" t="n">
        <v>18.0132</v>
      </c>
      <c r="C1420" t="n">
        <v>25.2351</v>
      </c>
    </row>
    <row r="1421">
      <c r="A1421" t="inlineStr">
        <is>
          <t>2020-10-27</t>
        </is>
      </c>
      <c r="B1421" t="n">
        <v>18.0357</v>
      </c>
      <c r="C1421" t="n">
        <v>25.2595</v>
      </c>
    </row>
    <row r="1422">
      <c r="A1422" t="inlineStr">
        <is>
          <t>2020-10-28</t>
        </is>
      </c>
      <c r="B1422" t="n">
        <v>17.9835</v>
      </c>
      <c r="C1422" t="n">
        <v>25.1737</v>
      </c>
    </row>
    <row r="1423">
      <c r="A1423" t="inlineStr">
        <is>
          <t>2020-10-29</t>
        </is>
      </c>
      <c r="B1423" t="n">
        <v>17.8606</v>
      </c>
      <c r="C1423" t="n">
        <v>25.0105</v>
      </c>
    </row>
    <row r="1424">
      <c r="A1424" t="inlineStr">
        <is>
          <t>2020-10-30</t>
        </is>
      </c>
      <c r="B1424" t="n">
        <v>17.7477</v>
      </c>
      <c r="C1424" t="n">
        <v>24.8503</v>
      </c>
    </row>
    <row r="1425">
      <c r="A1425" t="inlineStr">
        <is>
          <t>2020-11-02</t>
        </is>
      </c>
      <c r="B1425" t="n">
        <v>17.8394</v>
      </c>
      <c r="C1425" t="n">
        <v>25.002</v>
      </c>
    </row>
    <row r="1426">
      <c r="A1426" t="inlineStr">
        <is>
          <t>2020-11-03</t>
        </is>
      </c>
      <c r="B1426" t="n">
        <v>18.1999</v>
      </c>
      <c r="C1426" t="n">
        <v>25.5021</v>
      </c>
    </row>
    <row r="1427">
      <c r="A1427" t="inlineStr">
        <is>
          <t>2020-11-04</t>
        </is>
      </c>
      <c r="B1427" t="n">
        <v>18.1835</v>
      </c>
      <c r="C1427" t="n">
        <v>25.4736</v>
      </c>
    </row>
    <row r="1428">
      <c r="A1428" t="inlineStr">
        <is>
          <t>2020-11-05</t>
        </is>
      </c>
      <c r="B1428" t="n">
        <v>18.9952</v>
      </c>
      <c r="C1428" t="n">
        <v>26.613</v>
      </c>
    </row>
    <row r="1429">
      <c r="A1429" t="inlineStr">
        <is>
          <t>2020-11-06</t>
        </is>
      </c>
      <c r="B1429" t="n">
        <v>18.9702</v>
      </c>
      <c r="C1429" t="n">
        <v>26.5599</v>
      </c>
    </row>
    <row r="1430">
      <c r="A1430" t="inlineStr">
        <is>
          <t>2020-11-09</t>
        </is>
      </c>
      <c r="B1430" t="n">
        <v>19.4561</v>
      </c>
      <c r="C1430" t="n">
        <v>27.2544</v>
      </c>
    </row>
    <row r="1431">
      <c r="A1431" t="inlineStr">
        <is>
          <t>2020-11-10</t>
        </is>
      </c>
      <c r="B1431" t="n">
        <v>20.7722</v>
      </c>
      <c r="C1431" t="n">
        <v>29.133</v>
      </c>
    </row>
    <row r="1432">
      <c r="A1432" t="inlineStr">
        <is>
          <t>2020-11-11</t>
        </is>
      </c>
      <c r="B1432" t="n">
        <v>20.8187</v>
      </c>
      <c r="C1432" t="n">
        <v>29.213</v>
      </c>
    </row>
    <row r="1433">
      <c r="A1433" t="inlineStr">
        <is>
          <t>2020-11-12</t>
        </is>
      </c>
      <c r="B1433" t="n">
        <v>20.5809</v>
      </c>
      <c r="C1433" t="n">
        <v>28.8866</v>
      </c>
    </row>
    <row r="1434">
      <c r="A1434" t="inlineStr">
        <is>
          <t>2020-11-13</t>
        </is>
      </c>
      <c r="B1434" t="n">
        <v>20.7478</v>
      </c>
      <c r="C1434" t="n">
        <v>29.1215</v>
      </c>
    </row>
    <row r="1435">
      <c r="A1435" t="inlineStr">
        <is>
          <t>2020-11-16</t>
        </is>
      </c>
      <c r="B1435" t="n">
        <v>20.8095</v>
      </c>
      <c r="C1435" t="n">
        <v>29.2154</v>
      </c>
    </row>
    <row r="1436">
      <c r="A1436" t="inlineStr">
        <is>
          <t>2020-11-17</t>
        </is>
      </c>
      <c r="B1436" t="n">
        <v>20.7766</v>
      </c>
      <c r="C1436" t="n">
        <v>29.1632</v>
      </c>
    </row>
    <row r="1437">
      <c r="A1437" t="inlineStr">
        <is>
          <t>2020-11-18</t>
        </is>
      </c>
      <c r="B1437" t="n">
        <v>21.0559</v>
      </c>
      <c r="C1437" t="n">
        <v>29.5549</v>
      </c>
    </row>
    <row r="1438">
      <c r="A1438" t="inlineStr">
        <is>
          <t>2020-11-19</t>
        </is>
      </c>
      <c r="B1438" t="n">
        <v>21.0758</v>
      </c>
      <c r="C1438" t="n">
        <v>29.5918</v>
      </c>
    </row>
    <row r="1439">
      <c r="A1439" t="inlineStr">
        <is>
          <t>2020-11-20</t>
        </is>
      </c>
      <c r="B1439" t="n">
        <v>21.4242</v>
      </c>
      <c r="C1439" t="n">
        <v>30.079</v>
      </c>
    </row>
    <row r="1440">
      <c r="A1440" t="inlineStr">
        <is>
          <t>2020-11-23</t>
        </is>
      </c>
      <c r="B1440" t="n">
        <v>21.9702</v>
      </c>
      <c r="C1440" t="n">
        <v>30.8484</v>
      </c>
    </row>
    <row r="1441">
      <c r="A1441" t="inlineStr">
        <is>
          <t>2020-11-24</t>
        </is>
      </c>
      <c r="B1441" t="n">
        <v>21.6171</v>
      </c>
      <c r="C1441" t="n">
        <v>30.3606</v>
      </c>
    </row>
    <row r="1442">
      <c r="A1442" t="inlineStr">
        <is>
          <t>2020-11-25</t>
        </is>
      </c>
      <c r="B1442" t="n">
        <v>21.89</v>
      </c>
      <c r="C1442" t="n">
        <v>30.7415</v>
      </c>
    </row>
    <row r="1443">
      <c r="A1443" t="inlineStr">
        <is>
          <t>2020-11-26</t>
        </is>
      </c>
      <c r="B1443" t="n">
        <v>22.1115</v>
      </c>
      <c r="C1443" t="n">
        <v>31.0455</v>
      </c>
    </row>
    <row r="1444">
      <c r="A1444" t="inlineStr">
        <is>
          <t>2020-11-27</t>
        </is>
      </c>
      <c r="B1444" t="n">
        <v>22.1046</v>
      </c>
      <c r="C1444" t="n">
        <v>31.0302</v>
      </c>
    </row>
    <row r="1445">
      <c r="A1445" t="inlineStr">
        <is>
          <t>2020-11-30</t>
        </is>
      </c>
      <c r="B1445" t="n">
        <v>21.5204</v>
      </c>
      <c r="C1445" t="n">
        <v>30.2147</v>
      </c>
    </row>
    <row r="1446">
      <c r="A1446" t="inlineStr">
        <is>
          <t>2020-12-01</t>
        </is>
      </c>
      <c r="B1446" t="n">
        <v>21.7633</v>
      </c>
      <c r="C1446" t="n">
        <v>30.5765</v>
      </c>
    </row>
    <row r="1447">
      <c r="A1447" t="inlineStr">
        <is>
          <t>2020-12-02</t>
        </is>
      </c>
      <c r="B1447" t="n">
        <v>21.7186</v>
      </c>
      <c r="C1447" t="n">
        <v>30.5075</v>
      </c>
    </row>
    <row r="1448">
      <c r="A1448" t="inlineStr">
        <is>
          <t>2020-12-03</t>
        </is>
      </c>
      <c r="B1448" t="n">
        <v>22.0339</v>
      </c>
      <c r="C1448" t="n">
        <v>30.9529</v>
      </c>
    </row>
    <row r="1449">
      <c r="A1449" t="inlineStr">
        <is>
          <t>2020-12-04</t>
        </is>
      </c>
      <c r="B1449" t="n">
        <v>22.2479</v>
      </c>
      <c r="C1449" t="n">
        <v>31.2526</v>
      </c>
    </row>
    <row r="1450">
      <c r="A1450" t="inlineStr">
        <is>
          <t>2020-12-08</t>
        </is>
      </c>
      <c r="B1450" t="n">
        <v>22.6097</v>
      </c>
      <c r="C1450" t="n">
        <v>31.7738</v>
      </c>
    </row>
    <row r="1451">
      <c r="A1451" t="inlineStr">
        <is>
          <t>2020-12-09</t>
        </is>
      </c>
      <c r="B1451" t="n">
        <v>22.6605</v>
      </c>
      <c r="C1451" t="n">
        <v>31.862</v>
      </c>
    </row>
    <row r="1452">
      <c r="A1452" t="inlineStr">
        <is>
          <t>2020-12-14</t>
        </is>
      </c>
      <c r="B1452" t="n">
        <v>22.4044</v>
      </c>
      <c r="C1452" t="n">
        <v>31.509</v>
      </c>
    </row>
    <row r="1453">
      <c r="A1453" t="inlineStr">
        <is>
          <t>2020-12-15</t>
        </is>
      </c>
      <c r="B1453" t="n">
        <v>22.4291</v>
      </c>
      <c r="C1453" t="n">
        <v>31.5539</v>
      </c>
    </row>
    <row r="1454">
      <c r="A1454" t="inlineStr">
        <is>
          <t>2020-12-16</t>
        </is>
      </c>
      <c r="B1454" t="n">
        <v>22.4674</v>
      </c>
      <c r="C1454" t="n">
        <v>31.6072</v>
      </c>
    </row>
    <row r="1455">
      <c r="A1455" t="inlineStr">
        <is>
          <t>2020-12-17</t>
        </is>
      </c>
      <c r="B1455" t="n">
        <v>22.4129</v>
      </c>
      <c r="C1455" t="n">
        <v>31.5426</v>
      </c>
    </row>
    <row r="1456">
      <c r="A1456" t="inlineStr">
        <is>
          <t>2020-12-18</t>
        </is>
      </c>
      <c r="B1456" t="n">
        <v>22.3762</v>
      </c>
      <c r="C1456" t="n">
        <v>31.4861</v>
      </c>
    </row>
    <row r="1457">
      <c r="A1457" t="inlineStr">
        <is>
          <t>2020-12-21</t>
        </is>
      </c>
      <c r="B1457" t="n">
        <v>21.0841</v>
      </c>
      <c r="C1457" t="n">
        <v>29.6624</v>
      </c>
    </row>
    <row r="1458">
      <c r="A1458" t="inlineStr">
        <is>
          <t>2020-12-22</t>
        </is>
      </c>
      <c r="B1458" t="n">
        <v>21.4073</v>
      </c>
      <c r="C1458" t="n">
        <v>30.1209</v>
      </c>
    </row>
    <row r="1459">
      <c r="A1459" t="inlineStr">
        <is>
          <t>2020-12-23</t>
        </is>
      </c>
      <c r="B1459" t="n">
        <v>21.1269</v>
      </c>
      <c r="C1459" t="n">
        <v>29.7209</v>
      </c>
    </row>
    <row r="1460">
      <c r="A1460" t="inlineStr">
        <is>
          <t>2020-12-24</t>
        </is>
      </c>
      <c r="B1460" t="n">
        <v>21.4971</v>
      </c>
      <c r="C1460" t="n">
        <v>30.2508</v>
      </c>
    </row>
    <row r="1461">
      <c r="A1461" t="inlineStr">
        <is>
          <t>2020-12-25</t>
        </is>
      </c>
      <c r="B1461" t="n">
        <v>21.6886</v>
      </c>
      <c r="C1461" t="n">
        <v>30.5231</v>
      </c>
    </row>
    <row r="1462">
      <c r="A1462" t="inlineStr">
        <is>
          <t>2020-12-28</t>
        </is>
      </c>
      <c r="B1462" t="n">
        <v>21.3743</v>
      </c>
      <c r="C1462" t="n">
        <v>30.1068</v>
      </c>
    </row>
    <row r="1463">
      <c r="A1463" t="inlineStr">
        <is>
          <t>2020-12-29</t>
        </is>
      </c>
      <c r="B1463" t="n">
        <v>21.8</v>
      </c>
      <c r="C1463" t="n">
        <v>30.7134</v>
      </c>
    </row>
    <row r="1464">
      <c r="A1464" t="inlineStr">
        <is>
          <t>2020-12-30</t>
        </is>
      </c>
      <c r="B1464" t="n">
        <v>21.4996</v>
      </c>
      <c r="C1464" t="n">
        <v>30.1481</v>
      </c>
    </row>
    <row r="1465">
      <c r="A1465" t="inlineStr">
        <is>
          <t>2021-01-04</t>
        </is>
      </c>
      <c r="B1465" t="n">
        <v>21.8355</v>
      </c>
      <c r="C1465" t="n">
        <v>30.6031</v>
      </c>
    </row>
    <row r="1466">
      <c r="A1466" t="inlineStr">
        <is>
          <t>2021-01-05</t>
        </is>
      </c>
      <c r="B1466" t="n">
        <v>22.5219</v>
      </c>
      <c r="C1466" t="n">
        <v>31.5783</v>
      </c>
    </row>
    <row r="1467">
      <c r="A1467" t="inlineStr">
        <is>
          <t>2021-01-06</t>
        </is>
      </c>
      <c r="B1467" t="n">
        <v>22.205</v>
      </c>
      <c r="C1467" t="n">
        <v>31.1301</v>
      </c>
    </row>
    <row r="1468">
      <c r="A1468" t="inlineStr">
        <is>
          <t>2021-01-07</t>
        </is>
      </c>
      <c r="B1468" t="n">
        <v>22.5737</v>
      </c>
      <c r="C1468" t="n">
        <v>31.6235</v>
      </c>
    </row>
    <row r="1469">
      <c r="A1469" t="inlineStr">
        <is>
          <t>2021-01-08</t>
        </is>
      </c>
      <c r="B1469" t="n">
        <v>23.078</v>
      </c>
      <c r="C1469" t="n">
        <v>32.355</v>
      </c>
    </row>
    <row r="1470">
      <c r="A1470" t="inlineStr">
        <is>
          <t>2021-01-11</t>
        </is>
      </c>
      <c r="B1470" t="n">
        <v>23.0146</v>
      </c>
      <c r="C1470" t="n">
        <v>32.2653</v>
      </c>
    </row>
    <row r="1471">
      <c r="A1471" t="inlineStr">
        <is>
          <t>2021-01-12</t>
        </is>
      </c>
      <c r="B1471" t="n">
        <v>23.0387</v>
      </c>
      <c r="C1471" t="n">
        <v>32.2842</v>
      </c>
    </row>
    <row r="1472">
      <c r="A1472" t="inlineStr">
        <is>
          <t>2021-01-13</t>
        </is>
      </c>
      <c r="B1472" t="n">
        <v>23.1767</v>
      </c>
      <c r="C1472" t="n">
        <v>32.4561</v>
      </c>
    </row>
    <row r="1473">
      <c r="A1473" t="inlineStr">
        <is>
          <t>2021-01-14</t>
        </is>
      </c>
      <c r="B1473" t="n">
        <v>22.9522</v>
      </c>
      <c r="C1473" t="n">
        <v>32.1535</v>
      </c>
    </row>
    <row r="1474">
      <c r="A1474" t="inlineStr">
        <is>
          <t>2021-01-15</t>
        </is>
      </c>
      <c r="B1474" t="n">
        <v>22.6282</v>
      </c>
      <c r="C1474" t="n">
        <v>31.7089</v>
      </c>
    </row>
    <row r="1475">
      <c r="A1475" t="inlineStr">
        <is>
          <t>2021-01-18</t>
        </is>
      </c>
      <c r="B1475" t="n">
        <v>22.4392</v>
      </c>
    </row>
    <row r="1476">
      <c r="A1476" t="inlineStr">
        <is>
          <t>2021-01-19</t>
        </is>
      </c>
      <c r="B1476" t="n">
        <v>22.6376</v>
      </c>
      <c r="C1476" t="n">
        <v>31.7177</v>
      </c>
    </row>
    <row r="1477">
      <c r="A1477" t="inlineStr">
        <is>
          <t>2021-01-20</t>
        </is>
      </c>
      <c r="B1477" t="n">
        <v>22.5158</v>
      </c>
      <c r="C1477" t="n">
        <v>31.5429</v>
      </c>
    </row>
    <row r="1478">
      <c r="A1478" t="inlineStr">
        <is>
          <t>2021-01-21</t>
        </is>
      </c>
      <c r="B1478" t="n">
        <v>22.4874</v>
      </c>
      <c r="C1478" t="n">
        <v>31.5002</v>
      </c>
    </row>
    <row r="1479">
      <c r="A1479" t="inlineStr">
        <is>
          <t>2021-01-22</t>
        </is>
      </c>
      <c r="B1479" t="n">
        <v>22.2141</v>
      </c>
      <c r="C1479" t="n">
        <v>31.1098</v>
      </c>
    </row>
    <row r="1480">
      <c r="A1480" t="inlineStr">
        <is>
          <t>2021-01-25</t>
        </is>
      </c>
      <c r="B1480" t="n">
        <v>22.2813</v>
      </c>
      <c r="C1480" t="n">
        <v>31.183</v>
      </c>
    </row>
    <row r="1481">
      <c r="A1481" t="inlineStr">
        <is>
          <t>2021-01-26</t>
        </is>
      </c>
      <c r="B1481" t="n">
        <v>22.4953</v>
      </c>
      <c r="C1481" t="n">
        <v>31.48</v>
      </c>
    </row>
    <row r="1482">
      <c r="A1482" t="inlineStr">
        <is>
          <t>2021-01-27</t>
        </is>
      </c>
      <c r="B1482" t="n">
        <v>22.1618</v>
      </c>
      <c r="C1482" t="n">
        <v>31.0096</v>
      </c>
    </row>
    <row r="1483">
      <c r="A1483" t="inlineStr">
        <is>
          <t>2021-01-28</t>
        </is>
      </c>
      <c r="B1483" t="n">
        <v>21.6842</v>
      </c>
      <c r="C1483" t="n">
        <v>30.3557</v>
      </c>
    </row>
    <row r="1484">
      <c r="A1484" t="inlineStr">
        <is>
          <t>2021-01-29</t>
        </is>
      </c>
      <c r="B1484" t="n">
        <v>21.6796</v>
      </c>
      <c r="C1484" t="n">
        <v>30.3529</v>
      </c>
    </row>
    <row r="1485">
      <c r="A1485" t="inlineStr">
        <is>
          <t>2021-02-01</t>
        </is>
      </c>
      <c r="B1485" t="n">
        <v>21.8312</v>
      </c>
      <c r="C1485" t="n">
        <v>30.5563</v>
      </c>
    </row>
    <row r="1486">
      <c r="A1486" t="inlineStr">
        <is>
          <t>2021-02-02</t>
        </is>
      </c>
      <c r="B1486" t="n">
        <v>21.9485</v>
      </c>
      <c r="C1486" t="n">
        <v>30.7266</v>
      </c>
    </row>
    <row r="1487">
      <c r="A1487" t="inlineStr">
        <is>
          <t>2021-02-03</t>
        </is>
      </c>
      <c r="B1487" t="n">
        <v>21.8599</v>
      </c>
      <c r="C1487" t="n">
        <v>30.5907</v>
      </c>
    </row>
    <row r="1488">
      <c r="A1488" t="inlineStr">
        <is>
          <t>2021-02-04</t>
        </is>
      </c>
      <c r="B1488" t="n">
        <v>21.8552</v>
      </c>
      <c r="C1488" t="n">
        <v>30.5763</v>
      </c>
    </row>
    <row r="1489">
      <c r="A1489" t="inlineStr">
        <is>
          <t>2021-02-05</t>
        </is>
      </c>
      <c r="B1489" t="n">
        <v>22.096</v>
      </c>
      <c r="C1489" t="n">
        <v>30.906</v>
      </c>
    </row>
    <row r="1490">
      <c r="A1490" t="inlineStr">
        <is>
          <t>2021-02-08</t>
        </is>
      </c>
      <c r="B1490" t="n">
        <v>22.4534</v>
      </c>
      <c r="C1490" t="n">
        <v>31.3878</v>
      </c>
    </row>
    <row r="1491">
      <c r="A1491" t="inlineStr">
        <is>
          <t>2021-02-09</t>
        </is>
      </c>
      <c r="B1491" t="n">
        <v>22.4841</v>
      </c>
      <c r="C1491" t="n">
        <v>31.4279</v>
      </c>
    </row>
    <row r="1492">
      <c r="A1492" t="inlineStr">
        <is>
          <t>2021-02-10</t>
        </is>
      </c>
      <c r="B1492" t="n">
        <v>22.4954</v>
      </c>
      <c r="C1492" t="n">
        <v>31.4545</v>
      </c>
    </row>
    <row r="1493">
      <c r="A1493" t="inlineStr">
        <is>
          <t>2021-02-11</t>
        </is>
      </c>
      <c r="B1493" t="n">
        <v>22.3255</v>
      </c>
      <c r="C1493" t="n">
        <v>31.2259</v>
      </c>
    </row>
    <row r="1494">
      <c r="A1494" t="inlineStr">
        <is>
          <t>2021-02-15</t>
        </is>
      </c>
      <c r="B1494" t="n">
        <v>22.4951</v>
      </c>
      <c r="C1494" t="n">
        <v>31.4673</v>
      </c>
    </row>
    <row r="1495">
      <c r="A1495" t="inlineStr">
        <is>
          <t>2021-02-16</t>
        </is>
      </c>
      <c r="B1495" t="n">
        <v>22.5</v>
      </c>
      <c r="C1495" t="n">
        <v>31.466</v>
      </c>
    </row>
    <row r="1496">
      <c r="A1496" t="inlineStr">
        <is>
          <t>2021-02-17</t>
        </is>
      </c>
      <c r="B1496" t="n">
        <v>22.3164</v>
      </c>
      <c r="C1496" t="n">
        <v>31.207</v>
      </c>
    </row>
    <row r="1497">
      <c r="A1497" t="inlineStr">
        <is>
          <t>2021-02-18</t>
        </is>
      </c>
      <c r="B1497" t="n">
        <v>22.2307</v>
      </c>
      <c r="C1497" t="n">
        <v>31.0717</v>
      </c>
    </row>
    <row r="1498">
      <c r="A1498" t="inlineStr">
        <is>
          <t>2021-02-19</t>
        </is>
      </c>
      <c r="B1498" t="n">
        <v>22.0637</v>
      </c>
      <c r="C1498" t="n">
        <v>30.8506</v>
      </c>
    </row>
    <row r="1499">
      <c r="A1499" t="inlineStr">
        <is>
          <t>2021-02-22</t>
        </is>
      </c>
      <c r="B1499" t="n">
        <v>21.733</v>
      </c>
      <c r="C1499" t="n">
        <v>30.3932</v>
      </c>
    </row>
    <row r="1500">
      <c r="A1500" t="inlineStr">
        <is>
          <t>2021-02-23</t>
        </is>
      </c>
      <c r="B1500" t="n">
        <v>22.1449</v>
      </c>
      <c r="C1500" t="n">
        <v>30.9538</v>
      </c>
    </row>
    <row r="1501">
      <c r="A1501" t="inlineStr">
        <is>
          <t>2021-02-24</t>
        </is>
      </c>
      <c r="B1501" t="n">
        <v>21.9892</v>
      </c>
      <c r="C1501" t="n">
        <v>30.738</v>
      </c>
    </row>
    <row r="1502">
      <c r="A1502" t="inlineStr">
        <is>
          <t>2021-02-25</t>
        </is>
      </c>
      <c r="B1502" t="n">
        <v>22.0739</v>
      </c>
      <c r="C1502" t="n">
        <v>30.8598</v>
      </c>
    </row>
    <row r="1503">
      <c r="A1503" t="inlineStr">
        <is>
          <t>2021-03-01</t>
        </is>
      </c>
      <c r="B1503" t="n">
        <v>22.1641</v>
      </c>
      <c r="C1503" t="n">
        <v>30.9856</v>
      </c>
    </row>
    <row r="1504">
      <c r="A1504" t="inlineStr">
        <is>
          <t>2021-03-02</t>
        </is>
      </c>
      <c r="B1504" t="n">
        <v>22.1806</v>
      </c>
      <c r="C1504" t="n">
        <v>31.0037</v>
      </c>
    </row>
    <row r="1505">
      <c r="A1505" t="inlineStr">
        <is>
          <t>2021-03-03</t>
        </is>
      </c>
      <c r="B1505" t="n">
        <v>22.9142</v>
      </c>
      <c r="C1505" t="n">
        <v>32.0307</v>
      </c>
    </row>
    <row r="1506">
      <c r="A1506" t="inlineStr">
        <is>
          <t>2021-03-04</t>
        </is>
      </c>
      <c r="B1506" t="n">
        <v>22.7193</v>
      </c>
      <c r="C1506" t="n">
        <v>31.7582</v>
      </c>
    </row>
    <row r="1507">
      <c r="A1507" t="inlineStr">
        <is>
          <t>2021-03-05</t>
        </is>
      </c>
      <c r="B1507" t="n">
        <v>22.8516</v>
      </c>
      <c r="C1507" t="n">
        <v>31.9292</v>
      </c>
    </row>
    <row r="1508">
      <c r="A1508" t="inlineStr">
        <is>
          <t>2021-03-08</t>
        </is>
      </c>
      <c r="B1508" t="n">
        <v>22.8641</v>
      </c>
      <c r="C1508" t="n">
        <v>31.9272</v>
      </c>
    </row>
    <row r="1509">
      <c r="A1509" t="inlineStr">
        <is>
          <t>2021-03-09</t>
        </is>
      </c>
      <c r="B1509" t="n">
        <v>22.9202</v>
      </c>
      <c r="C1509" t="n">
        <v>32.029</v>
      </c>
    </row>
    <row r="1510">
      <c r="A1510" t="inlineStr">
        <is>
          <t>2021-03-10</t>
        </is>
      </c>
      <c r="B1510" t="n">
        <v>23.2817</v>
      </c>
      <c r="C1510" t="n">
        <v>32.5369</v>
      </c>
    </row>
    <row r="1511">
      <c r="A1511" t="inlineStr">
        <is>
          <t>2021-03-11</t>
        </is>
      </c>
      <c r="B1511" t="n">
        <v>23.3572</v>
      </c>
      <c r="C1511" t="n">
        <v>32.6357</v>
      </c>
    </row>
    <row r="1512">
      <c r="A1512" t="inlineStr">
        <is>
          <t>2021-03-12</t>
        </is>
      </c>
      <c r="B1512" t="n">
        <v>23.2323</v>
      </c>
      <c r="C1512" t="n">
        <v>32.4622</v>
      </c>
    </row>
    <row r="1513">
      <c r="A1513" t="inlineStr">
        <is>
          <t>2021-03-15</t>
        </is>
      </c>
      <c r="B1513" t="n">
        <v>23.1136</v>
      </c>
      <c r="C1513" t="n">
        <v>32.3026</v>
      </c>
    </row>
    <row r="1514">
      <c r="A1514" t="inlineStr">
        <is>
          <t>2021-03-16</t>
        </is>
      </c>
      <c r="B1514" t="n">
        <v>23.044</v>
      </c>
      <c r="C1514" t="n">
        <v>32.2039</v>
      </c>
    </row>
    <row r="1515">
      <c r="A1515" t="inlineStr">
        <is>
          <t>2021-03-17</t>
        </is>
      </c>
      <c r="B1515" t="n">
        <v>23.0925</v>
      </c>
      <c r="C1515" t="n">
        <v>32.2757</v>
      </c>
    </row>
    <row r="1516">
      <c r="A1516" t="inlineStr">
        <is>
          <t>2021-03-18</t>
        </is>
      </c>
      <c r="B1516" t="n">
        <v>23.0618</v>
      </c>
      <c r="C1516" t="n">
        <v>32.2324</v>
      </c>
    </row>
    <row r="1517">
      <c r="A1517" t="inlineStr">
        <is>
          <t>2021-03-19</t>
        </is>
      </c>
      <c r="B1517" t="n">
        <v>22.9025</v>
      </c>
      <c r="C1517" t="n">
        <v>32.0105</v>
      </c>
    </row>
    <row r="1518">
      <c r="A1518" t="inlineStr">
        <is>
          <t>2021-03-22</t>
        </is>
      </c>
      <c r="B1518" t="n">
        <v>22.9035</v>
      </c>
      <c r="C1518" t="n">
        <v>32.0114</v>
      </c>
    </row>
    <row r="1519">
      <c r="A1519" t="inlineStr">
        <is>
          <t>2021-03-23</t>
        </is>
      </c>
      <c r="B1519" t="n">
        <v>22.8661</v>
      </c>
      <c r="C1519" t="n">
        <v>31.954</v>
      </c>
    </row>
    <row r="1520">
      <c r="A1520" t="inlineStr">
        <is>
          <t>2021-03-24</t>
        </is>
      </c>
      <c r="B1520" t="n">
        <v>22.9534</v>
      </c>
      <c r="C1520" t="n">
        <v>32.0807</v>
      </c>
    </row>
    <row r="1521">
      <c r="A1521" t="inlineStr">
        <is>
          <t>2021-03-25</t>
        </is>
      </c>
      <c r="B1521" t="n">
        <v>22.9402</v>
      </c>
      <c r="C1521" t="n">
        <v>32.0852</v>
      </c>
    </row>
    <row r="1522">
      <c r="A1522" t="inlineStr">
        <is>
          <t>2021-03-26</t>
        </is>
      </c>
      <c r="B1522" t="n">
        <v>22.9932</v>
      </c>
      <c r="C1522" t="n">
        <v>32.1479</v>
      </c>
    </row>
    <row r="1523">
      <c r="A1523" t="inlineStr">
        <is>
          <t>2021-03-29</t>
        </is>
      </c>
      <c r="B1523" t="n">
        <v>23.0892</v>
      </c>
      <c r="C1523" t="n">
        <v>32.2793</v>
      </c>
    </row>
    <row r="1524">
      <c r="A1524" t="inlineStr">
        <is>
          <t>2021-03-30</t>
        </is>
      </c>
      <c r="B1524" t="n">
        <v>23.2042</v>
      </c>
      <c r="C1524" t="n">
        <v>32.4437</v>
      </c>
    </row>
    <row r="1525">
      <c r="A1525" t="inlineStr">
        <is>
          <t>2021-03-31</t>
        </is>
      </c>
      <c r="B1525" t="n">
        <v>23.1741</v>
      </c>
      <c r="C1525" t="n">
        <v>32.395</v>
      </c>
    </row>
    <row r="1526">
      <c r="A1526" t="inlineStr">
        <is>
          <t>2021-04-01</t>
        </is>
      </c>
      <c r="B1526" t="n">
        <v>23.2734</v>
      </c>
      <c r="C1526" t="n">
        <v>32.5403</v>
      </c>
    </row>
    <row r="1527">
      <c r="A1527" t="inlineStr">
        <is>
          <t>2021-04-02</t>
        </is>
      </c>
      <c r="B1527" t="n">
        <v>23.2832</v>
      </c>
      <c r="C1527" t="n">
        <v>32.5554</v>
      </c>
    </row>
    <row r="1528">
      <c r="A1528" t="inlineStr">
        <is>
          <t>2021-04-05</t>
        </is>
      </c>
      <c r="B1528" t="n">
        <v>23.0108</v>
      </c>
      <c r="C1528" t="n">
        <v>32.1789</v>
      </c>
    </row>
    <row r="1529">
      <c r="A1529" t="inlineStr">
        <is>
          <t>2021-04-07</t>
        </is>
      </c>
      <c r="B1529" t="n">
        <v>22.6728</v>
      </c>
      <c r="C1529" t="n">
        <v>31.7067</v>
      </c>
    </row>
    <row r="1530">
      <c r="A1530" t="inlineStr">
        <is>
          <t>2021-04-08</t>
        </is>
      </c>
      <c r="B1530" t="n">
        <v>22.6853</v>
      </c>
      <c r="C1530" t="n">
        <v>31.7273</v>
      </c>
    </row>
    <row r="1531">
      <c r="A1531" t="inlineStr">
        <is>
          <t>2021-04-09</t>
        </is>
      </c>
      <c r="B1531" t="n">
        <v>22.8276</v>
      </c>
      <c r="C1531" t="n">
        <v>31.919</v>
      </c>
    </row>
    <row r="1532">
      <c r="A1532" t="inlineStr">
        <is>
          <t>2021-04-12</t>
        </is>
      </c>
      <c r="B1532" t="n">
        <v>22.4751</v>
      </c>
      <c r="C1532" t="n">
        <v>31.4297</v>
      </c>
    </row>
    <row r="1533">
      <c r="A1533" t="inlineStr">
        <is>
          <t>2021-04-16</t>
        </is>
      </c>
      <c r="B1533" t="n">
        <v>22.603</v>
      </c>
      <c r="C1533" t="n">
        <v>31.6062</v>
      </c>
    </row>
    <row r="1534">
      <c r="A1534" t="inlineStr">
        <is>
          <t>2021-04-19</t>
        </is>
      </c>
      <c r="B1534" t="n">
        <v>22.9323</v>
      </c>
      <c r="C1534" t="n">
        <v>32.0657</v>
      </c>
    </row>
    <row r="1535">
      <c r="A1535" t="inlineStr">
        <is>
          <t>2021-04-20</t>
        </is>
      </c>
      <c r="B1535" t="n">
        <v>23.0471</v>
      </c>
      <c r="C1535" t="n">
        <v>32.221</v>
      </c>
    </row>
    <row r="1536">
      <c r="A1536" t="inlineStr">
        <is>
          <t>2021-04-21</t>
        </is>
      </c>
      <c r="B1536" t="n">
        <v>23.0151</v>
      </c>
      <c r="C1536" t="n">
        <v>32.1757</v>
      </c>
    </row>
    <row r="1537">
      <c r="A1537" t="inlineStr">
        <is>
          <t>2021-04-22</t>
        </is>
      </c>
      <c r="B1537" t="n">
        <v>22.7968</v>
      </c>
      <c r="C1537" t="n">
        <v>31.8752</v>
      </c>
    </row>
    <row r="1538">
      <c r="A1538" t="inlineStr">
        <is>
          <t>2021-04-23</t>
        </is>
      </c>
      <c r="B1538" t="n">
        <v>22.5581</v>
      </c>
      <c r="C1538" t="n">
        <v>31.5466</v>
      </c>
    </row>
    <row r="1539">
      <c r="A1539" t="inlineStr">
        <is>
          <t>2021-04-26</t>
        </is>
      </c>
      <c r="B1539" t="n">
        <v>22.5904</v>
      </c>
      <c r="C1539" t="n">
        <v>31.5877</v>
      </c>
    </row>
    <row r="1540">
      <c r="A1540" t="inlineStr">
        <is>
          <t>2021-04-27</t>
        </is>
      </c>
      <c r="B1540" t="n">
        <v>22.5767</v>
      </c>
      <c r="C1540" t="n">
        <v>31.5682</v>
      </c>
    </row>
    <row r="1541">
      <c r="A1541" t="inlineStr">
        <is>
          <t>2021-04-28</t>
        </is>
      </c>
      <c r="B1541" t="n">
        <v>22.8462</v>
      </c>
      <c r="C1541" t="n">
        <v>31.9419</v>
      </c>
    </row>
    <row r="1542">
      <c r="A1542" t="inlineStr">
        <is>
          <t>2021-04-29</t>
        </is>
      </c>
      <c r="B1542" t="n">
        <v>23.1145</v>
      </c>
      <c r="C1542" t="n">
        <v>32.3122</v>
      </c>
    </row>
    <row r="1543">
      <c r="A1543" t="inlineStr">
        <is>
          <t>2021-04-30</t>
        </is>
      </c>
      <c r="B1543" t="n">
        <v>22.9095</v>
      </c>
      <c r="C1543" t="n">
        <v>32.0278</v>
      </c>
    </row>
    <row r="1544">
      <c r="A1544" t="inlineStr">
        <is>
          <t>2021-05-05</t>
        </is>
      </c>
      <c r="B1544" t="n">
        <v>22.3065</v>
      </c>
      <c r="C1544" t="n">
        <v>31.1876</v>
      </c>
    </row>
    <row r="1545">
      <c r="A1545" t="inlineStr">
        <is>
          <t>2021-05-06</t>
        </is>
      </c>
      <c r="B1545" t="n">
        <v>22.6972</v>
      </c>
      <c r="C1545" t="n">
        <v>31.7319</v>
      </c>
    </row>
    <row r="1546">
      <c r="A1546" t="inlineStr">
        <is>
          <t>2021-05-07</t>
        </is>
      </c>
      <c r="B1546" t="n">
        <v>22.9428</v>
      </c>
      <c r="C1546" t="n">
        <v>32.0753</v>
      </c>
    </row>
    <row r="1547">
      <c r="A1547" t="inlineStr">
        <is>
          <t>2021-05-10</t>
        </is>
      </c>
      <c r="B1547" t="n">
        <v>23.0271</v>
      </c>
      <c r="C1547" t="n">
        <v>32.1949</v>
      </c>
    </row>
    <row r="1548">
      <c r="A1548" t="inlineStr">
        <is>
          <t>2021-05-11</t>
        </is>
      </c>
      <c r="B1548" t="n">
        <v>22.9685</v>
      </c>
      <c r="C1548" t="n">
        <v>32.1125</v>
      </c>
    </row>
    <row r="1549">
      <c r="A1549" t="inlineStr">
        <is>
          <t>2021-05-12</t>
        </is>
      </c>
      <c r="B1549" t="n">
        <v>22.8607</v>
      </c>
      <c r="C1549" t="n">
        <v>31.9642</v>
      </c>
    </row>
    <row r="1550">
      <c r="A1550" t="inlineStr">
        <is>
          <t>2021-05-13</t>
        </is>
      </c>
      <c r="B1550" t="n">
        <v>22.5227</v>
      </c>
      <c r="C1550" t="n">
        <v>31.4915</v>
      </c>
    </row>
    <row r="1551">
      <c r="A1551" t="inlineStr">
        <is>
          <t>2021-05-14</t>
        </is>
      </c>
      <c r="B1551" t="n">
        <v>22.5316</v>
      </c>
      <c r="C1551" t="n">
        <v>31.5036</v>
      </c>
    </row>
    <row r="1552">
      <c r="A1552" t="inlineStr">
        <is>
          <t>2021-05-17</t>
        </is>
      </c>
      <c r="B1552" t="n">
        <v>21.848</v>
      </c>
      <c r="C1552" t="n">
        <v>31.5271</v>
      </c>
    </row>
    <row r="1553">
      <c r="A1553" t="inlineStr">
        <is>
          <t>2021-05-18</t>
        </is>
      </c>
      <c r="B1553" t="n">
        <v>22.0815</v>
      </c>
      <c r="C1553" t="n">
        <v>31.8566</v>
      </c>
    </row>
    <row r="1554">
      <c r="A1554" t="inlineStr">
        <is>
          <t>2021-05-19</t>
        </is>
      </c>
      <c r="B1554" t="n">
        <v>21.951</v>
      </c>
      <c r="C1554" t="n">
        <v>31.6759</v>
      </c>
    </row>
    <row r="1555">
      <c r="A1555" t="inlineStr">
        <is>
          <t>2021-05-20</t>
        </is>
      </c>
      <c r="B1555" t="n">
        <v>21.8289</v>
      </c>
      <c r="C1555" t="n">
        <v>31.504</v>
      </c>
    </row>
    <row r="1556">
      <c r="A1556" t="inlineStr">
        <is>
          <t>2021-05-21</t>
        </is>
      </c>
      <c r="B1556" t="n">
        <v>21.8094</v>
      </c>
      <c r="C1556" t="n">
        <v>31.4772</v>
      </c>
    </row>
    <row r="1557">
      <c r="A1557" t="inlineStr">
        <is>
          <t>2021-05-24</t>
        </is>
      </c>
      <c r="B1557" t="n">
        <v>21.7449</v>
      </c>
      <c r="C1557" t="n">
        <v>31.3861</v>
      </c>
    </row>
    <row r="1558">
      <c r="A1558" t="inlineStr">
        <is>
          <t>2021-05-25</t>
        </is>
      </c>
      <c r="B1558" t="n">
        <v>22.0508</v>
      </c>
      <c r="C1558" t="n">
        <v>31.8275</v>
      </c>
    </row>
    <row r="1559">
      <c r="A1559" t="inlineStr">
        <is>
          <t>2021-05-27</t>
        </is>
      </c>
      <c r="B1559" t="n">
        <v>22.2614</v>
      </c>
      <c r="C1559" t="n">
        <v>32.1329</v>
      </c>
    </row>
    <row r="1560">
      <c r="A1560" t="inlineStr">
        <is>
          <t>2021-05-28</t>
        </is>
      </c>
      <c r="B1560" t="n">
        <v>22.2417</v>
      </c>
      <c r="C1560" t="n">
        <v>32.1042</v>
      </c>
    </row>
    <row r="1561">
      <c r="A1561" t="inlineStr">
        <is>
          <t>2021-05-31</t>
        </is>
      </c>
      <c r="B1561" t="n">
        <v>22.3877</v>
      </c>
      <c r="C1561" t="n">
        <v>32.3159</v>
      </c>
    </row>
    <row r="1562">
      <c r="A1562" t="inlineStr">
        <is>
          <t>2021-06-01</t>
        </is>
      </c>
      <c r="B1562" t="n">
        <v>22.8157</v>
      </c>
      <c r="C1562" t="n">
        <v>32.936</v>
      </c>
    </row>
    <row r="1563">
      <c r="A1563" t="inlineStr">
        <is>
          <t>2021-06-02</t>
        </is>
      </c>
      <c r="B1563" t="n">
        <v>22.7483</v>
      </c>
      <c r="C1563" t="n">
        <v>32.8381</v>
      </c>
    </row>
    <row r="1564">
      <c r="A1564" t="inlineStr">
        <is>
          <t>2021-06-04</t>
        </is>
      </c>
      <c r="B1564" t="n">
        <v>22.6094</v>
      </c>
      <c r="C1564" t="n">
        <v>32.6383</v>
      </c>
    </row>
    <row r="1565">
      <c r="A1565" t="inlineStr">
        <is>
          <t>2021-06-07</t>
        </is>
      </c>
      <c r="B1565" t="n">
        <v>22.6235</v>
      </c>
      <c r="C1565" t="n">
        <v>32.6583</v>
      </c>
    </row>
    <row r="1566">
      <c r="A1566" t="inlineStr">
        <is>
          <t>2021-06-08</t>
        </is>
      </c>
      <c r="B1566" t="n">
        <v>22.6277</v>
      </c>
      <c r="C1566" t="n">
        <v>32.6635</v>
      </c>
    </row>
    <row r="1567">
      <c r="A1567" t="inlineStr">
        <is>
          <t>2021-06-09</t>
        </is>
      </c>
      <c r="B1567" t="n">
        <v>22.8336</v>
      </c>
      <c r="C1567" t="n">
        <v>32.9608</v>
      </c>
    </row>
    <row r="1568">
      <c r="A1568" t="inlineStr">
        <is>
          <t>2021-06-10</t>
        </is>
      </c>
      <c r="B1568" t="n">
        <v>22.8229</v>
      </c>
      <c r="C1568" t="n">
        <v>32.9452</v>
      </c>
    </row>
    <row r="1569">
      <c r="A1569" t="inlineStr">
        <is>
          <t>2021-06-11</t>
        </is>
      </c>
      <c r="B1569" t="n">
        <v>23.0351</v>
      </c>
      <c r="C1569" t="n">
        <v>33.2514</v>
      </c>
    </row>
    <row r="1570">
      <c r="A1570" t="inlineStr">
        <is>
          <t>2021-06-14</t>
        </is>
      </c>
      <c r="B1570" t="n">
        <v>22.9775</v>
      </c>
      <c r="C1570" t="n">
        <v>33.1699</v>
      </c>
    </row>
    <row r="1571">
      <c r="A1571" t="inlineStr">
        <is>
          <t>2021-06-15</t>
        </is>
      </c>
      <c r="B1571" t="n">
        <v>22.769</v>
      </c>
      <c r="C1571" t="n">
        <v>32.8694</v>
      </c>
    </row>
    <row r="1572">
      <c r="A1572" t="inlineStr">
        <is>
          <t>2021-06-16</t>
        </is>
      </c>
      <c r="B1572" t="n">
        <v>22.7848</v>
      </c>
      <c r="C1572" t="n">
        <v>32.8935</v>
      </c>
    </row>
    <row r="1573">
      <c r="A1573" t="inlineStr">
        <is>
          <t>2021-06-17</t>
        </is>
      </c>
      <c r="B1573" t="n">
        <v>22.6422</v>
      </c>
      <c r="C1573" t="n">
        <v>32.6863</v>
      </c>
    </row>
    <row r="1574">
      <c r="A1574" t="inlineStr">
        <is>
          <t>2021-06-18</t>
        </is>
      </c>
      <c r="B1574" t="n">
        <v>22.5777</v>
      </c>
      <c r="C1574" t="n">
        <v>32.5944</v>
      </c>
    </row>
    <row r="1575">
      <c r="A1575" t="inlineStr">
        <is>
          <t>2021-06-21</t>
        </is>
      </c>
      <c r="B1575" t="n">
        <v>22.3848</v>
      </c>
      <c r="C1575" t="n">
        <v>32.3196</v>
      </c>
    </row>
    <row r="1576">
      <c r="A1576" t="inlineStr">
        <is>
          <t>2021-06-22</t>
        </is>
      </c>
      <c r="B1576" t="n">
        <v>22.3616</v>
      </c>
      <c r="C1576" t="n">
        <v>32.2861</v>
      </c>
    </row>
    <row r="1577">
      <c r="A1577" t="inlineStr">
        <is>
          <t>2021-06-23</t>
        </is>
      </c>
      <c r="B1577" t="n">
        <v>22.2916</v>
      </c>
      <c r="C1577" t="n">
        <v>32.1856</v>
      </c>
    </row>
    <row r="1578">
      <c r="A1578" t="inlineStr">
        <is>
          <t>2021-06-24</t>
        </is>
      </c>
      <c r="B1578" t="n">
        <v>22.2252</v>
      </c>
      <c r="C1578" t="n">
        <v>32.0895</v>
      </c>
    </row>
    <row r="1579">
      <c r="A1579" t="inlineStr">
        <is>
          <t>2021-06-25</t>
        </is>
      </c>
      <c r="B1579" t="n">
        <v>22.1931</v>
      </c>
      <c r="C1579" t="n">
        <v>32.044</v>
      </c>
    </row>
    <row r="1580">
      <c r="A1580" t="inlineStr">
        <is>
          <t>2021-06-28</t>
        </is>
      </c>
      <c r="B1580" t="n">
        <v>22.0875</v>
      </c>
      <c r="C1580" t="n">
        <v>31.8918</v>
      </c>
    </row>
    <row r="1581">
      <c r="A1581" t="inlineStr">
        <is>
          <t>2021-06-29</t>
        </is>
      </c>
      <c r="B1581" t="n">
        <v>22.2523</v>
      </c>
      <c r="C1581" t="n">
        <v>32.1319</v>
      </c>
    </row>
    <row r="1582">
      <c r="A1582" t="inlineStr">
        <is>
          <t>2021-06-30</t>
        </is>
      </c>
      <c r="B1582" t="n">
        <v>22.1654</v>
      </c>
      <c r="C1582" t="n">
        <v>31.9875</v>
      </c>
    </row>
    <row r="1583">
      <c r="A1583" t="inlineStr">
        <is>
          <t>2021-07-01</t>
        </is>
      </c>
      <c r="B1583" t="n">
        <v>22.2493</v>
      </c>
      <c r="C1583" t="n">
        <v>32.1081</v>
      </c>
    </row>
    <row r="1584">
      <c r="A1584" t="inlineStr">
        <is>
          <t>2021-07-02</t>
        </is>
      </c>
      <c r="B1584" t="n">
        <v>22.0622</v>
      </c>
      <c r="C1584" t="n">
        <v>31.8383</v>
      </c>
    </row>
    <row r="1585">
      <c r="A1585" t="inlineStr">
        <is>
          <t>2021-07-05</t>
        </is>
      </c>
      <c r="B1585" t="n">
        <v>22.0857</v>
      </c>
      <c r="C1585" t="n">
        <v>31.8726</v>
      </c>
    </row>
    <row r="1586">
      <c r="A1586" t="inlineStr">
        <is>
          <t>2021-07-06</t>
        </is>
      </c>
      <c r="B1586" t="n">
        <v>22.2344</v>
      </c>
      <c r="C1586" t="n">
        <v>32.0876</v>
      </c>
    </row>
    <row r="1587">
      <c r="A1587" t="inlineStr">
        <is>
          <t>2021-07-07</t>
        </is>
      </c>
      <c r="B1587" t="n">
        <v>22.0363</v>
      </c>
      <c r="C1587" t="n">
        <v>31.8018</v>
      </c>
    </row>
    <row r="1588">
      <c r="A1588" t="inlineStr">
        <is>
          <t>2021-07-08</t>
        </is>
      </c>
      <c r="B1588" t="n">
        <v>21.6092</v>
      </c>
      <c r="C1588" t="n">
        <v>31.1853</v>
      </c>
    </row>
    <row r="1589">
      <c r="A1589" t="inlineStr">
        <is>
          <t>2021-07-09</t>
        </is>
      </c>
      <c r="B1589" t="n">
        <v>21.711</v>
      </c>
      <c r="C1589" t="n">
        <v>31.332</v>
      </c>
    </row>
    <row r="1590">
      <c r="A1590" t="inlineStr">
        <is>
          <t>2021-07-12</t>
        </is>
      </c>
      <c r="B1590" t="n">
        <v>21.665</v>
      </c>
      <c r="C1590" t="n">
        <v>31.2661</v>
      </c>
    </row>
    <row r="1591">
      <c r="A1591" t="inlineStr">
        <is>
          <t>2021-07-13</t>
        </is>
      </c>
      <c r="B1591" t="n">
        <v>21.9438</v>
      </c>
      <c r="C1591" t="n">
        <v>31.6679</v>
      </c>
    </row>
    <row r="1592">
      <c r="A1592" t="inlineStr">
        <is>
          <t>2021-07-14</t>
        </is>
      </c>
      <c r="B1592" t="n">
        <v>21.8598</v>
      </c>
      <c r="C1592" t="n">
        <v>31.5464</v>
      </c>
    </row>
    <row r="1593">
      <c r="A1593" t="inlineStr">
        <is>
          <t>2021-07-15</t>
        </is>
      </c>
      <c r="B1593" t="n">
        <v>21.9025</v>
      </c>
      <c r="C1593" t="n">
        <v>31.6087</v>
      </c>
    </row>
    <row r="1594">
      <c r="A1594" t="inlineStr">
        <is>
          <t>2021-07-16</t>
        </is>
      </c>
      <c r="B1594" t="n">
        <v>21.8975</v>
      </c>
      <c r="C1594" t="n">
        <v>31.6016</v>
      </c>
    </row>
    <row r="1595">
      <c r="A1595" t="inlineStr">
        <is>
          <t>2021-07-19</t>
        </is>
      </c>
      <c r="B1595" t="n">
        <v>21.6213</v>
      </c>
      <c r="C1595" t="n">
        <v>31.2028</v>
      </c>
    </row>
    <row r="1596">
      <c r="A1596" t="inlineStr">
        <is>
          <t>2021-07-20</t>
        </is>
      </c>
      <c r="B1596" t="n">
        <v>21.3884</v>
      </c>
      <c r="C1596" t="n">
        <v>30.8677</v>
      </c>
    </row>
    <row r="1597">
      <c r="A1597" t="inlineStr">
        <is>
          <t>2021-07-21</t>
        </is>
      </c>
      <c r="B1597" t="n">
        <v>21.4307</v>
      </c>
      <c r="C1597" t="n">
        <v>30.9291</v>
      </c>
    </row>
    <row r="1598">
      <c r="A1598" t="inlineStr">
        <is>
          <t>2021-07-22</t>
        </is>
      </c>
      <c r="B1598" t="n">
        <v>21.5936</v>
      </c>
      <c r="C1598" t="n">
        <v>31.1638</v>
      </c>
    </row>
    <row r="1599">
      <c r="A1599" t="inlineStr">
        <is>
          <t>2021-07-23</t>
        </is>
      </c>
      <c r="B1599" t="n">
        <v>21.4571</v>
      </c>
      <c r="C1599" t="n">
        <v>30.9667</v>
      </c>
    </row>
    <row r="1600">
      <c r="A1600" t="inlineStr">
        <is>
          <t>2021-07-27</t>
        </is>
      </c>
      <c r="B1600" t="n">
        <v>21.3283</v>
      </c>
      <c r="C1600" t="n">
        <v>30.7813</v>
      </c>
    </row>
    <row r="1601">
      <c r="A1601" t="inlineStr">
        <is>
          <t>2021-07-29</t>
        </is>
      </c>
      <c r="B1601" t="n">
        <v>21.3649</v>
      </c>
      <c r="C1601" t="n">
        <v>30.8345</v>
      </c>
    </row>
    <row r="1602">
      <c r="A1602" t="inlineStr">
        <is>
          <t>2021-07-30</t>
        </is>
      </c>
      <c r="B1602" t="n">
        <v>21.1676</v>
      </c>
      <c r="C1602" t="n">
        <v>30.5499</v>
      </c>
    </row>
    <row r="1603">
      <c r="A1603" t="inlineStr">
        <is>
          <t>2021-08-02</t>
        </is>
      </c>
      <c r="B1603" t="n">
        <v>21.2509</v>
      </c>
      <c r="C1603" t="n">
        <v>30.6697</v>
      </c>
    </row>
    <row r="1604">
      <c r="A1604" t="inlineStr">
        <is>
          <t>2021-08-03</t>
        </is>
      </c>
      <c r="B1604" t="n">
        <v>21.4377</v>
      </c>
      <c r="C1604" t="n">
        <v>30.9394</v>
      </c>
    </row>
    <row r="1605">
      <c r="A1605" t="inlineStr">
        <is>
          <t>2021-08-04</t>
        </is>
      </c>
      <c r="B1605" t="n">
        <v>21.5135</v>
      </c>
      <c r="C1605" t="n">
        <v>31.0483</v>
      </c>
    </row>
    <row r="1606">
      <c r="A1606" t="inlineStr">
        <is>
          <t>2021-08-05</t>
        </is>
      </c>
      <c r="B1606" t="n">
        <v>21.1861</v>
      </c>
      <c r="C1606" t="n">
        <v>30.5771</v>
      </c>
    </row>
    <row r="1607">
      <c r="A1607" t="inlineStr">
        <is>
          <t>2021-08-06</t>
        </is>
      </c>
      <c r="B1607" t="n">
        <v>21.1156</v>
      </c>
      <c r="C1607" t="n">
        <v>30.4754</v>
      </c>
    </row>
    <row r="1608">
      <c r="A1608" t="inlineStr">
        <is>
          <t>2021-08-09</t>
        </is>
      </c>
      <c r="B1608" t="n">
        <v>21.4178</v>
      </c>
      <c r="C1608" t="n">
        <v>30.9105</v>
      </c>
    </row>
    <row r="1609">
      <c r="A1609" t="inlineStr">
        <is>
          <t>2021-08-10</t>
        </is>
      </c>
      <c r="B1609" t="n">
        <v>21.4349</v>
      </c>
      <c r="C1609" t="n">
        <v>30.9351</v>
      </c>
    </row>
    <row r="1610">
      <c r="A1610" t="inlineStr">
        <is>
          <t>2021-08-11</t>
        </is>
      </c>
      <c r="B1610" t="n">
        <v>21.3327</v>
      </c>
      <c r="C1610" t="n">
        <v>30.7881</v>
      </c>
    </row>
    <row r="1611">
      <c r="A1611" t="inlineStr">
        <is>
          <t>2021-08-13</t>
        </is>
      </c>
      <c r="B1611" t="n">
        <v>21.3578</v>
      </c>
      <c r="C1611" t="n">
        <v>30.8243</v>
      </c>
    </row>
    <row r="1612">
      <c r="A1612" t="inlineStr">
        <is>
          <t>2021-08-16</t>
        </is>
      </c>
      <c r="C1612" t="n">
        <v>31.013</v>
      </c>
    </row>
    <row r="1613">
      <c r="A1613" t="inlineStr">
        <is>
          <t>2021-08-17</t>
        </is>
      </c>
      <c r="B1613" t="n">
        <v>21.6622</v>
      </c>
      <c r="C1613" t="n">
        <v>31.263</v>
      </c>
    </row>
    <row r="1614">
      <c r="A1614" t="inlineStr">
        <is>
          <t>2021-08-18</t>
        </is>
      </c>
      <c r="B1614" t="n">
        <v>21.7625</v>
      </c>
      <c r="C1614" t="n">
        <v>31.4078</v>
      </c>
    </row>
    <row r="1615">
      <c r="A1615" t="inlineStr">
        <is>
          <t>2021-08-19</t>
        </is>
      </c>
      <c r="B1615" t="n">
        <v>21.6026</v>
      </c>
      <c r="C1615" t="n">
        <v>31.1777</v>
      </c>
    </row>
    <row r="1616">
      <c r="A1616" t="inlineStr">
        <is>
          <t>2021-08-20</t>
        </is>
      </c>
      <c r="B1616" t="n">
        <v>21.7222</v>
      </c>
      <c r="C1616" t="n">
        <v>31.35</v>
      </c>
    </row>
    <row r="1617">
      <c r="A1617" t="inlineStr">
        <is>
          <t>2021-08-23</t>
        </is>
      </c>
      <c r="B1617" t="n">
        <v>22.2433</v>
      </c>
      <c r="C1617" t="n">
        <v>32.1011</v>
      </c>
    </row>
    <row r="1618">
      <c r="A1618" t="inlineStr">
        <is>
          <t>2021-08-24</t>
        </is>
      </c>
      <c r="B1618" t="n">
        <v>22.3127</v>
      </c>
      <c r="C1618" t="n">
        <v>32.2009</v>
      </c>
    </row>
    <row r="1619">
      <c r="A1619" t="inlineStr">
        <is>
          <t>2021-08-25</t>
        </is>
      </c>
      <c r="B1619" t="n">
        <v>22.5145</v>
      </c>
      <c r="C1619" t="n">
        <v>32.4894</v>
      </c>
    </row>
    <row r="1620">
      <c r="A1620" t="inlineStr">
        <is>
          <t>2021-08-26</t>
        </is>
      </c>
      <c r="B1620" t="n">
        <v>22.5014</v>
      </c>
      <c r="C1620" t="n">
        <v>32.4703</v>
      </c>
    </row>
    <row r="1621">
      <c r="A1621" t="inlineStr">
        <is>
          <t>2021-08-27</t>
        </is>
      </c>
      <c r="B1621" t="n">
        <v>22.6802</v>
      </c>
      <c r="C1621" t="n">
        <v>32.7262</v>
      </c>
    </row>
    <row r="1622">
      <c r="A1622" t="inlineStr">
        <is>
          <t>2021-08-30</t>
        </is>
      </c>
      <c r="B1622" t="n">
        <v>23.0382</v>
      </c>
      <c r="C1622" t="n">
        <v>33.2388</v>
      </c>
    </row>
    <row r="1623">
      <c r="A1623" t="inlineStr">
        <is>
          <t>2021-08-31</t>
        </is>
      </c>
      <c r="B1623" t="n">
        <v>23.1499</v>
      </c>
      <c r="C1623" t="n">
        <v>33.399</v>
      </c>
    </row>
    <row r="1624">
      <c r="A1624" t="inlineStr">
        <is>
          <t>2021-09-01</t>
        </is>
      </c>
      <c r="B1624" t="n">
        <v>23.058</v>
      </c>
      <c r="C1624" t="n">
        <v>33.2672</v>
      </c>
    </row>
    <row r="1625">
      <c r="A1625" t="inlineStr">
        <is>
          <t>2021-09-02</t>
        </is>
      </c>
      <c r="B1625" t="n">
        <v>23.3052</v>
      </c>
      <c r="C1625" t="n">
        <v>33.6206</v>
      </c>
    </row>
    <row r="1626">
      <c r="A1626" t="inlineStr">
        <is>
          <t>2021-09-03</t>
        </is>
      </c>
      <c r="B1626" t="n">
        <v>23.3644</v>
      </c>
      <c r="C1626" t="n">
        <v>33.7053</v>
      </c>
    </row>
    <row r="1627">
      <c r="A1627" t="inlineStr">
        <is>
          <t>2021-09-06</t>
        </is>
      </c>
      <c r="B1627" t="n">
        <v>23.2989</v>
      </c>
      <c r="C1627" t="n">
        <v>33.6102</v>
      </c>
    </row>
    <row r="1628">
      <c r="A1628" t="inlineStr">
        <is>
          <t>2021-09-07</t>
        </is>
      </c>
      <c r="B1628" t="n">
        <v>23.1625</v>
      </c>
      <c r="C1628" t="n">
        <v>33.4135</v>
      </c>
    </row>
    <row r="1629">
      <c r="A1629" t="inlineStr">
        <is>
          <t>2021-09-08</t>
        </is>
      </c>
      <c r="B1629" t="n">
        <v>23.2003</v>
      </c>
      <c r="C1629" t="n">
        <v>33.4678</v>
      </c>
    </row>
    <row r="1630">
      <c r="A1630" t="inlineStr">
        <is>
          <t>2021-09-09</t>
        </is>
      </c>
      <c r="B1630" t="n">
        <v>22.9564</v>
      </c>
      <c r="C1630" t="n">
        <v>33.1198</v>
      </c>
    </row>
    <row r="1631">
      <c r="A1631" t="inlineStr">
        <is>
          <t>2021-09-10</t>
        </is>
      </c>
      <c r="B1631" t="n">
        <v>23.0367</v>
      </c>
      <c r="C1631" t="n">
        <v>33.2339</v>
      </c>
    </row>
    <row r="1632">
      <c r="A1632" t="inlineStr">
        <is>
          <t>2021-09-13</t>
        </is>
      </c>
      <c r="B1632" t="n">
        <v>22.9482</v>
      </c>
      <c r="C1632" t="n">
        <v>33.1058</v>
      </c>
    </row>
    <row r="1633">
      <c r="A1633" t="inlineStr">
        <is>
          <t>2021-09-14</t>
        </is>
      </c>
      <c r="B1633" t="n">
        <v>22.7863</v>
      </c>
      <c r="C1633" t="n">
        <v>32.8727</v>
      </c>
    </row>
    <row r="1634">
      <c r="A1634" t="inlineStr">
        <is>
          <t>2021-09-15</t>
        </is>
      </c>
      <c r="B1634" t="n">
        <v>22.8195</v>
      </c>
      <c r="C1634" t="n">
        <v>32.9209</v>
      </c>
    </row>
    <row r="1635">
      <c r="A1635" t="inlineStr">
        <is>
          <t>2021-09-16</t>
        </is>
      </c>
      <c r="B1635" t="n">
        <v>22.8825</v>
      </c>
      <c r="C1635" t="n">
        <v>33.0115</v>
      </c>
    </row>
    <row r="1636">
      <c r="A1636" t="inlineStr">
        <is>
          <t>2021-09-17</t>
        </is>
      </c>
      <c r="B1636" t="n">
        <v>22.7929</v>
      </c>
      <c r="C1636" t="n">
        <v>32.8828</v>
      </c>
    </row>
    <row r="1637">
      <c r="A1637" t="inlineStr">
        <is>
          <t>2021-09-20</t>
        </is>
      </c>
      <c r="B1637" t="n">
        <v>22.4617</v>
      </c>
      <c r="C1637" t="n">
        <v>32.4077</v>
      </c>
    </row>
    <row r="1638">
      <c r="A1638" t="inlineStr">
        <is>
          <t>2021-09-21</t>
        </is>
      </c>
      <c r="B1638" t="n">
        <v>22.6206</v>
      </c>
      <c r="C1638" t="n">
        <v>32.6353</v>
      </c>
    </row>
    <row r="1639">
      <c r="A1639" t="inlineStr">
        <is>
          <t>2021-09-22</t>
        </is>
      </c>
      <c r="B1639" t="n">
        <v>22.6684</v>
      </c>
      <c r="C1639" t="n">
        <v>32.7035</v>
      </c>
    </row>
    <row r="1640">
      <c r="A1640" t="inlineStr">
        <is>
          <t>2021-09-23</t>
        </is>
      </c>
      <c r="B1640" t="n">
        <v>22.9561</v>
      </c>
      <c r="C1640" t="n">
        <v>33.1145</v>
      </c>
    </row>
    <row r="1641">
      <c r="A1641" t="inlineStr">
        <is>
          <t>2021-09-27</t>
        </is>
      </c>
      <c r="B1641" t="n">
        <v>22.822</v>
      </c>
      <c r="C1641" t="n">
        <v>32.9206</v>
      </c>
    </row>
    <row r="1642">
      <c r="A1642" t="inlineStr">
        <is>
          <t>2021-09-28</t>
        </is>
      </c>
      <c r="B1642" t="n">
        <v>22.7495</v>
      </c>
      <c r="C1642" t="n">
        <v>32.8171</v>
      </c>
    </row>
    <row r="1643">
      <c r="A1643" t="inlineStr">
        <is>
          <t>2021-09-29</t>
        </is>
      </c>
      <c r="B1643" t="n">
        <v>22.7883</v>
      </c>
      <c r="C1643" t="n">
        <v>32.8722</v>
      </c>
    </row>
    <row r="1644">
      <c r="A1644" t="inlineStr">
        <is>
          <t>2021-09-30</t>
        </is>
      </c>
      <c r="B1644" t="n">
        <v>22.6128</v>
      </c>
      <c r="C1644" t="n">
        <v>32.6197</v>
      </c>
    </row>
    <row r="1645">
      <c r="A1645" t="inlineStr">
        <is>
          <t>2021-10-01</t>
        </is>
      </c>
      <c r="B1645" t="n">
        <v>22.6275</v>
      </c>
      <c r="C1645" t="n">
        <v>32.6406</v>
      </c>
    </row>
    <row r="1646">
      <c r="A1646" t="inlineStr">
        <is>
          <t>2021-10-04</t>
        </is>
      </c>
      <c r="B1646" t="n">
        <v>22.772</v>
      </c>
      <c r="C1646" t="n">
        <v>32.848</v>
      </c>
    </row>
    <row r="1647">
      <c r="A1647" t="inlineStr">
        <is>
          <t>2021-10-05</t>
        </is>
      </c>
      <c r="B1647" t="n">
        <v>22.95</v>
      </c>
      <c r="C1647" t="n">
        <v>33.104</v>
      </c>
    </row>
    <row r="1648">
      <c r="A1648" t="inlineStr">
        <is>
          <t>2021-10-06</t>
        </is>
      </c>
      <c r="B1648" t="n">
        <v>22.8186</v>
      </c>
      <c r="C1648" t="n">
        <v>32.915</v>
      </c>
    </row>
    <row r="1649">
      <c r="A1649" t="inlineStr">
        <is>
          <t>2021-10-07</t>
        </is>
      </c>
      <c r="B1649" t="n">
        <v>23.025</v>
      </c>
      <c r="C1649" t="n">
        <v>33.2114</v>
      </c>
    </row>
    <row r="1650">
      <c r="A1650" t="inlineStr">
        <is>
          <t>2021-10-08</t>
        </is>
      </c>
      <c r="B1650" t="n">
        <v>23.1089</v>
      </c>
      <c r="C1650" t="n">
        <v>33.3318</v>
      </c>
    </row>
    <row r="1651">
      <c r="A1651" t="inlineStr">
        <is>
          <t>2021-10-11</t>
        </is>
      </c>
      <c r="B1651" t="n">
        <v>23.0316</v>
      </c>
      <c r="C1651" t="n">
        <v>33.2207</v>
      </c>
    </row>
    <row r="1652">
      <c r="A1652" t="inlineStr">
        <is>
          <t>2021-10-12</t>
        </is>
      </c>
      <c r="B1652" t="n">
        <v>23.2075</v>
      </c>
      <c r="C1652" t="n">
        <v>33.4728</v>
      </c>
    </row>
    <row r="1653">
      <c r="A1653" t="inlineStr">
        <is>
          <t>2021-10-14</t>
        </is>
      </c>
      <c r="B1653" t="n">
        <v>23.1514</v>
      </c>
      <c r="C1653" t="n">
        <v>33.3917</v>
      </c>
    </row>
    <row r="1654">
      <c r="A1654" t="inlineStr">
        <is>
          <t>2021-10-15</t>
        </is>
      </c>
      <c r="B1654" t="n">
        <v>23.1549</v>
      </c>
      <c r="C1654" t="n">
        <v>33.3964</v>
      </c>
    </row>
    <row r="1655">
      <c r="A1655" t="inlineStr">
        <is>
          <t>2021-10-18</t>
        </is>
      </c>
      <c r="B1655" t="n">
        <v>23.2387</v>
      </c>
      <c r="C1655" t="n">
        <v>33.5165</v>
      </c>
    </row>
    <row r="1656">
      <c r="A1656" t="inlineStr">
        <is>
          <t>2021-10-19</t>
        </is>
      </c>
      <c r="B1656" t="n">
        <v>23.0257</v>
      </c>
      <c r="C1656" t="n">
        <v>33.2115</v>
      </c>
    </row>
    <row r="1657">
      <c r="A1657" t="inlineStr">
        <is>
          <t>2021-10-20</t>
        </is>
      </c>
      <c r="B1657" t="n">
        <v>23.1152</v>
      </c>
      <c r="C1657" t="n">
        <v>33.3401</v>
      </c>
    </row>
    <row r="1658">
      <c r="A1658" t="inlineStr">
        <is>
          <t>2021-10-21</t>
        </is>
      </c>
      <c r="B1658" t="n">
        <v>23.1837</v>
      </c>
      <c r="C1658" t="n">
        <v>33.4387</v>
      </c>
    </row>
    <row r="1659">
      <c r="A1659" t="inlineStr">
        <is>
          <t>2021-10-25</t>
        </is>
      </c>
      <c r="B1659" t="n">
        <v>23.0418</v>
      </c>
      <c r="C1659" t="n">
        <v>33.2343</v>
      </c>
    </row>
    <row r="1660">
      <c r="A1660" t="inlineStr">
        <is>
          <t>2021-10-26</t>
        </is>
      </c>
      <c r="B1660" t="n">
        <v>23.07</v>
      </c>
      <c r="C1660" t="n">
        <v>33.2751</v>
      </c>
    </row>
    <row r="1661">
      <c r="A1661" t="inlineStr">
        <is>
          <t>2021-10-27</t>
        </is>
      </c>
      <c r="B1661" t="n">
        <v>22.9126</v>
      </c>
      <c r="C1661" t="n">
        <v>33.0484</v>
      </c>
    </row>
    <row r="1662">
      <c r="A1662" t="inlineStr">
        <is>
          <t>2021-10-28</t>
        </is>
      </c>
      <c r="B1662" t="n">
        <v>22.8973</v>
      </c>
      <c r="C1662" t="n">
        <v>33.0262</v>
      </c>
    </row>
    <row r="1663">
      <c r="A1663" t="inlineStr">
        <is>
          <t>2021-10-29</t>
        </is>
      </c>
      <c r="B1663" t="n">
        <v>22.8505</v>
      </c>
      <c r="C1663" t="n">
        <v>32.9582</v>
      </c>
    </row>
    <row r="1664">
      <c r="A1664" t="inlineStr">
        <is>
          <t>2021-11-01</t>
        </is>
      </c>
      <c r="B1664" t="n">
        <v>22.7506</v>
      </c>
      <c r="C1664" t="n">
        <v>32.8136</v>
      </c>
    </row>
    <row r="1665">
      <c r="A1665" t="inlineStr">
        <is>
          <t>2021-11-02</t>
        </is>
      </c>
      <c r="B1665" t="n">
        <v>22.8605</v>
      </c>
      <c r="C1665" t="n">
        <v>32.9715</v>
      </c>
    </row>
    <row r="1666">
      <c r="A1666" t="inlineStr">
        <is>
          <t>2021-11-03</t>
        </is>
      </c>
      <c r="B1666" t="n">
        <v>22.8019</v>
      </c>
      <c r="C1666" t="n">
        <v>32.887</v>
      </c>
    </row>
    <row r="1667">
      <c r="A1667" t="inlineStr">
        <is>
          <t>2021-11-04</t>
        </is>
      </c>
      <c r="B1667" t="n">
        <v>22.9761</v>
      </c>
      <c r="C1667" t="n">
        <v>33.1377</v>
      </c>
    </row>
    <row r="1668">
      <c r="A1668" t="inlineStr">
        <is>
          <t>2021-11-05</t>
        </is>
      </c>
      <c r="B1668" t="n">
        <v>22.9741</v>
      </c>
      <c r="C1668" t="n">
        <v>33.1346</v>
      </c>
    </row>
    <row r="1669">
      <c r="A1669" t="inlineStr">
        <is>
          <t>2021-11-08</t>
        </is>
      </c>
      <c r="B1669" t="n">
        <v>22.9785</v>
      </c>
      <c r="C1669" t="n">
        <v>33.139</v>
      </c>
    </row>
    <row r="1670">
      <c r="A1670" t="inlineStr">
        <is>
          <t>2021-11-09</t>
        </is>
      </c>
      <c r="B1670" t="n">
        <v>22.9849</v>
      </c>
      <c r="C1670" t="n">
        <v>33.1487</v>
      </c>
    </row>
    <row r="1671">
      <c r="A1671" t="inlineStr">
        <is>
          <t>2021-11-10</t>
        </is>
      </c>
      <c r="B1671" t="n">
        <v>22.9552</v>
      </c>
      <c r="C1671" t="n">
        <v>33.106</v>
      </c>
    </row>
    <row r="1672">
      <c r="A1672" t="inlineStr">
        <is>
          <t>2021-11-11</t>
        </is>
      </c>
      <c r="B1672" t="n">
        <v>22.969</v>
      </c>
      <c r="C1672" t="n">
        <v>33.1258</v>
      </c>
    </row>
    <row r="1673">
      <c r="A1673" t="inlineStr">
        <is>
          <t>2021-11-12</t>
        </is>
      </c>
      <c r="B1673" t="n">
        <v>22.9614</v>
      </c>
      <c r="C1673" t="n">
        <v>33.1153</v>
      </c>
    </row>
    <row r="1674">
      <c r="A1674" t="inlineStr">
        <is>
          <t>2021-11-15</t>
        </is>
      </c>
      <c r="B1674" t="n">
        <v>23.0641</v>
      </c>
      <c r="C1674" t="n">
        <v>33.2642</v>
      </c>
    </row>
    <row r="1675">
      <c r="A1675" t="inlineStr">
        <is>
          <t>2021-11-16</t>
        </is>
      </c>
      <c r="B1675" t="n">
        <v>23.1209</v>
      </c>
      <c r="C1675" t="n">
        <v>33.346</v>
      </c>
    </row>
    <row r="1676">
      <c r="A1676" t="inlineStr">
        <is>
          <t>2021-11-17</t>
        </is>
      </c>
      <c r="B1676" t="n">
        <v>23.1221</v>
      </c>
      <c r="C1676" t="n">
        <v>33.3478</v>
      </c>
    </row>
    <row r="1677">
      <c r="A1677" t="inlineStr">
        <is>
          <t>2021-11-18</t>
        </is>
      </c>
      <c r="B1677" t="n">
        <v>23.1837</v>
      </c>
      <c r="C1677" t="n">
        <v>33.4366</v>
      </c>
    </row>
    <row r="1678">
      <c r="A1678" t="inlineStr">
        <is>
          <t>2021-11-19</t>
        </is>
      </c>
      <c r="B1678" t="n">
        <v>23.0817</v>
      </c>
      <c r="C1678" t="n">
        <v>33.2898</v>
      </c>
    </row>
    <row r="1679">
      <c r="A1679" t="inlineStr">
        <is>
          <t>2021-11-22</t>
        </is>
      </c>
      <c r="B1679" t="n">
        <v>23.1921</v>
      </c>
      <c r="C1679" t="n">
        <v>33.4487</v>
      </c>
    </row>
    <row r="1680">
      <c r="A1680" t="inlineStr">
        <is>
          <t>2021-11-23</t>
        </is>
      </c>
      <c r="B1680" t="n">
        <v>23.1462</v>
      </c>
      <c r="C1680" t="n">
        <v>33.3836</v>
      </c>
    </row>
    <row r="1681">
      <c r="A1681" t="inlineStr">
        <is>
          <t>2021-11-24</t>
        </is>
      </c>
      <c r="B1681" t="n">
        <v>23.1908</v>
      </c>
      <c r="C1681" t="n">
        <v>33.4478</v>
      </c>
    </row>
    <row r="1682">
      <c r="A1682" t="inlineStr">
        <is>
          <t>2021-11-25</t>
        </is>
      </c>
      <c r="B1682" t="n">
        <v>23.1561</v>
      </c>
      <c r="C1682" t="n">
        <v>33.3975</v>
      </c>
    </row>
    <row r="1683">
      <c r="A1683" t="inlineStr">
        <is>
          <t>2021-11-26</t>
        </is>
      </c>
      <c r="B1683" t="n">
        <v>22.5561</v>
      </c>
      <c r="C1683" t="n">
        <v>32.5335</v>
      </c>
    </row>
    <row r="1684">
      <c r="A1684" t="inlineStr">
        <is>
          <t>2021-11-29</t>
        </is>
      </c>
      <c r="B1684" t="n">
        <v>22.2359</v>
      </c>
      <c r="C1684" t="n">
        <v>32.0739</v>
      </c>
    </row>
    <row r="1685">
      <c r="A1685" t="inlineStr">
        <is>
          <t>2021-11-30</t>
        </is>
      </c>
      <c r="B1685" t="n">
        <v>21.929</v>
      </c>
      <c r="C1685" t="n">
        <v>31.6298</v>
      </c>
    </row>
    <row r="1686">
      <c r="A1686" t="inlineStr">
        <is>
          <t>2021-12-01</t>
        </is>
      </c>
      <c r="B1686" t="n">
        <v>22.2258</v>
      </c>
      <c r="C1686" t="n">
        <v>32.059</v>
      </c>
    </row>
    <row r="1687">
      <c r="A1687" t="inlineStr">
        <is>
          <t>2021-12-02</t>
        </is>
      </c>
      <c r="B1687" t="n">
        <v>22.226</v>
      </c>
      <c r="C1687" t="n">
        <v>32.0594</v>
      </c>
    </row>
    <row r="1688">
      <c r="A1688" t="inlineStr">
        <is>
          <t>2021-12-03</t>
        </is>
      </c>
      <c r="B1688" t="n">
        <v>22.1307</v>
      </c>
      <c r="C1688" t="n">
        <v>31.9223</v>
      </c>
    </row>
    <row r="1689">
      <c r="A1689" t="inlineStr">
        <is>
          <t>2021-12-07</t>
        </is>
      </c>
      <c r="B1689" t="n">
        <v>22.4602</v>
      </c>
      <c r="C1689" t="n">
        <v>32.3975</v>
      </c>
    </row>
    <row r="1690">
      <c r="A1690" t="inlineStr">
        <is>
          <t>2021-12-08</t>
        </is>
      </c>
      <c r="B1690" t="n">
        <v>22.6111</v>
      </c>
      <c r="C1690" t="n">
        <v>32.6146</v>
      </c>
    </row>
    <row r="1691">
      <c r="A1691" t="inlineStr">
        <is>
          <t>2021-12-09</t>
        </is>
      </c>
      <c r="B1691" t="n">
        <v>22.5594</v>
      </c>
      <c r="C1691" t="n">
        <v>32.5401</v>
      </c>
    </row>
    <row r="1692">
      <c r="A1692" t="inlineStr">
        <is>
          <t>2021-12-13</t>
        </is>
      </c>
      <c r="B1692" t="n">
        <v>22.6646</v>
      </c>
      <c r="C1692" t="n">
        <v>32.6916</v>
      </c>
    </row>
    <row r="1693">
      <c r="A1693" t="inlineStr">
        <is>
          <t>2021-12-14</t>
        </is>
      </c>
      <c r="B1693" t="n">
        <v>22.7646</v>
      </c>
      <c r="C1693" t="n">
        <v>32.8364</v>
      </c>
    </row>
    <row r="1694">
      <c r="A1694" t="inlineStr">
        <is>
          <t>2021-12-15</t>
        </is>
      </c>
      <c r="B1694" t="n">
        <v>22.6007</v>
      </c>
      <c r="C1694" t="n">
        <v>32.5999</v>
      </c>
    </row>
    <row r="1695">
      <c r="A1695" t="inlineStr">
        <is>
          <t>2021-12-16</t>
        </is>
      </c>
      <c r="B1695" t="n">
        <v>22.9831</v>
      </c>
      <c r="C1695" t="n">
        <v>33.1508</v>
      </c>
    </row>
    <row r="1696">
      <c r="A1696" t="inlineStr">
        <is>
          <t>2021-12-17</t>
        </is>
      </c>
      <c r="B1696" t="n">
        <v>22.9203</v>
      </c>
      <c r="C1696" t="n">
        <v>33.061</v>
      </c>
    </row>
    <row r="1697">
      <c r="A1697" t="inlineStr">
        <is>
          <t>2021-12-20</t>
        </is>
      </c>
      <c r="B1697" t="n">
        <v>22.4835</v>
      </c>
      <c r="C1697" t="n">
        <v>32.4335</v>
      </c>
    </row>
    <row r="1698">
      <c r="A1698" t="inlineStr">
        <is>
          <t>2021-12-21</t>
        </is>
      </c>
      <c r="B1698" t="n">
        <v>22.5668</v>
      </c>
      <c r="C1698" t="n">
        <v>32.5528</v>
      </c>
    </row>
    <row r="1699">
      <c r="A1699" t="inlineStr">
        <is>
          <t>2021-12-22</t>
        </is>
      </c>
      <c r="B1699" t="n">
        <v>22.6258</v>
      </c>
      <c r="C1699" t="n">
        <v>32.6381</v>
      </c>
    </row>
    <row r="1700">
      <c r="A1700" t="inlineStr">
        <is>
          <t>2021-12-23</t>
        </is>
      </c>
      <c r="B1700" t="n">
        <v>22.8722</v>
      </c>
      <c r="C1700" t="n">
        <v>32.9922</v>
      </c>
    </row>
    <row r="1701">
      <c r="A1701" t="inlineStr">
        <is>
          <t>2021-12-24</t>
        </is>
      </c>
      <c r="B1701" t="n">
        <v>22.8531</v>
      </c>
      <c r="C1701" t="n">
        <v>32.965</v>
      </c>
    </row>
    <row r="1702">
      <c r="A1702" t="inlineStr">
        <is>
          <t>2021-12-27</t>
        </is>
      </c>
      <c r="B1702" t="n">
        <v>22.8606</v>
      </c>
      <c r="C1702" t="n">
        <v>32.9759</v>
      </c>
    </row>
    <row r="1703">
      <c r="A1703" t="inlineStr">
        <is>
          <t>2021-12-28</t>
        </is>
      </c>
      <c r="B1703" t="n">
        <v>23.0234</v>
      </c>
      <c r="C1703" t="n">
        <v>33.2098</v>
      </c>
    </row>
    <row r="1704">
      <c r="A1704" t="inlineStr">
        <is>
          <t>2021-12-29</t>
        </is>
      </c>
      <c r="B1704" t="n">
        <v>23.1835</v>
      </c>
      <c r="C1704" t="n">
        <v>33.4306</v>
      </c>
    </row>
    <row r="1705">
      <c r="A1705" t="inlineStr">
        <is>
          <t>2021-12-30</t>
        </is>
      </c>
      <c r="B1705" t="n">
        <v>23.2151</v>
      </c>
      <c r="C1705" t="n">
        <v>33.4521</v>
      </c>
    </row>
    <row r="1706">
      <c r="A1706" t="inlineStr">
        <is>
          <t>2022-01-04</t>
        </is>
      </c>
      <c r="B1706" t="n">
        <v>23.4168</v>
      </c>
      <c r="C1706" t="n">
        <v>33.741</v>
      </c>
    </row>
    <row r="1707">
      <c r="A1707" t="inlineStr">
        <is>
          <t>2022-01-05</t>
        </is>
      </c>
      <c r="B1707" t="n">
        <v>23.4887</v>
      </c>
      <c r="C1707" t="n">
        <v>33.8463</v>
      </c>
    </row>
    <row r="1708">
      <c r="A1708" t="inlineStr">
        <is>
          <t>2022-01-06</t>
        </is>
      </c>
      <c r="B1708" t="n">
        <v>23.0474</v>
      </c>
      <c r="C1708" t="n">
        <v>33.2106</v>
      </c>
    </row>
    <row r="1709">
      <c r="A1709" t="inlineStr">
        <is>
          <t>2022-01-07</t>
        </is>
      </c>
      <c r="B1709" t="n">
        <v>23.0986</v>
      </c>
      <c r="C1709" t="n">
        <v>33.2854</v>
      </c>
    </row>
    <row r="1710">
      <c r="A1710" t="inlineStr">
        <is>
          <t>2022-01-10</t>
        </is>
      </c>
      <c r="B1710" t="n">
        <v>23.0929</v>
      </c>
      <c r="C1710" t="n">
        <v>33.2777</v>
      </c>
    </row>
    <row r="1711">
      <c r="A1711" t="inlineStr">
        <is>
          <t>2022-01-11</t>
        </is>
      </c>
      <c r="B1711" t="n">
        <v>23.2326</v>
      </c>
      <c r="C1711" t="n">
        <v>33.4796</v>
      </c>
    </row>
    <row r="1712">
      <c r="A1712" t="inlineStr">
        <is>
          <t>2022-01-12</t>
        </is>
      </c>
      <c r="B1712" t="n">
        <v>23.3857</v>
      </c>
      <c r="C1712" t="n">
        <v>33.6997</v>
      </c>
    </row>
    <row r="1713">
      <c r="A1713" t="inlineStr">
        <is>
          <t>2022-01-13</t>
        </is>
      </c>
      <c r="B1713" t="n">
        <v>23.3524</v>
      </c>
      <c r="C1713" t="n">
        <v>33.6518</v>
      </c>
    </row>
    <row r="1714">
      <c r="A1714" t="inlineStr">
        <is>
          <t>2022-01-14</t>
        </is>
      </c>
      <c r="B1714" t="n">
        <v>23.2806</v>
      </c>
      <c r="C1714" t="n">
        <v>33.5481</v>
      </c>
    </row>
    <row r="1715">
      <c r="A1715" t="inlineStr">
        <is>
          <t>2022-01-17</t>
        </is>
      </c>
      <c r="B1715" t="n">
        <v>23.3449</v>
      </c>
      <c r="C1715" t="n">
        <v>33.6397</v>
      </c>
    </row>
    <row r="1716">
      <c r="A1716" t="inlineStr">
        <is>
          <t>2022-01-18</t>
        </is>
      </c>
      <c r="B1716" t="n">
        <v>23.1335</v>
      </c>
      <c r="C1716" t="n">
        <v>33.3349</v>
      </c>
    </row>
    <row r="1717">
      <c r="A1717" t="inlineStr">
        <is>
          <t>2022-01-19</t>
        </is>
      </c>
      <c r="B1717" t="n">
        <v>23.1695</v>
      </c>
      <c r="C1717" t="n">
        <v>33.387</v>
      </c>
    </row>
    <row r="1718">
      <c r="A1718" t="inlineStr">
        <is>
          <t>2022-01-20</t>
        </is>
      </c>
      <c r="B1718" t="n">
        <v>23.1992</v>
      </c>
      <c r="C1718" t="n">
        <v>33.43</v>
      </c>
    </row>
    <row r="1719">
      <c r="A1719" t="inlineStr">
        <is>
          <t>2022-01-21</t>
        </is>
      </c>
      <c r="B1719" t="n">
        <v>23.1197</v>
      </c>
      <c r="C1719" t="n">
        <v>33.3151</v>
      </c>
    </row>
    <row r="1720">
      <c r="A1720" t="inlineStr">
        <is>
          <t>2022-01-24</t>
        </is>
      </c>
      <c r="B1720" t="n">
        <v>23.0737</v>
      </c>
      <c r="C1720" t="n">
        <v>33.2491</v>
      </c>
    </row>
    <row r="1721">
      <c r="A1721" t="inlineStr">
        <is>
          <t>2022-01-25</t>
        </is>
      </c>
      <c r="B1721" t="n">
        <v>23.0806</v>
      </c>
      <c r="C1721" t="n">
        <v>33.2586</v>
      </c>
    </row>
    <row r="1722">
      <c r="A1722" t="inlineStr">
        <is>
          <t>2022-01-26</t>
        </is>
      </c>
      <c r="B1722" t="n">
        <v>23.2369</v>
      </c>
      <c r="C1722" t="n">
        <v>33.4827</v>
      </c>
    </row>
    <row r="1723">
      <c r="A1723" t="inlineStr">
        <is>
          <t>2022-01-27</t>
        </is>
      </c>
      <c r="B1723" t="n">
        <v>23.1459</v>
      </c>
      <c r="C1723" t="n">
        <v>33.3552</v>
      </c>
    </row>
    <row r="1724">
      <c r="A1724" t="inlineStr">
        <is>
          <t>2022-01-28</t>
        </is>
      </c>
      <c r="B1724" t="n">
        <v>23.1942</v>
      </c>
      <c r="C1724" t="n">
        <v>33.425</v>
      </c>
    </row>
    <row r="1725">
      <c r="A1725" t="inlineStr">
        <is>
          <t>2022-01-31</t>
        </is>
      </c>
      <c r="B1725" t="n">
        <v>23.2589</v>
      </c>
      <c r="C1725" t="n">
        <v>33.5187</v>
      </c>
    </row>
    <row r="1726">
      <c r="A1726" t="inlineStr">
        <is>
          <t>2022-02-01</t>
        </is>
      </c>
      <c r="B1726" t="n">
        <v>23.3724</v>
      </c>
      <c r="C1726" t="n">
        <v>33.681</v>
      </c>
    </row>
    <row r="1727">
      <c r="A1727" t="inlineStr">
        <is>
          <t>2022-02-02</t>
        </is>
      </c>
      <c r="B1727" t="n">
        <v>23.4102</v>
      </c>
      <c r="C1727" t="n">
        <v>33.7353</v>
      </c>
    </row>
    <row r="1728">
      <c r="A1728" t="inlineStr">
        <is>
          <t>2022-02-03</t>
        </is>
      </c>
      <c r="B1728" t="n">
        <v>23.4189</v>
      </c>
      <c r="C1728" t="n">
        <v>33.7481</v>
      </c>
    </row>
    <row r="1729">
      <c r="A1729" t="inlineStr">
        <is>
          <t>2022-02-04</t>
        </is>
      </c>
      <c r="B1729" t="n">
        <v>23.4914</v>
      </c>
      <c r="C1729" t="n">
        <v>33.8515</v>
      </c>
    </row>
    <row r="1730">
      <c r="A1730" t="inlineStr">
        <is>
          <t>2022-02-07</t>
        </is>
      </c>
      <c r="B1730" t="n">
        <v>23.5624</v>
      </c>
      <c r="C1730" t="n">
        <v>33.9517</v>
      </c>
    </row>
    <row r="1731">
      <c r="A1731" t="inlineStr">
        <is>
          <t>2022-02-08</t>
        </is>
      </c>
      <c r="B1731" t="n">
        <v>23.6874</v>
      </c>
      <c r="C1731" t="n">
        <v>34.1304</v>
      </c>
    </row>
    <row r="1732">
      <c r="A1732" t="inlineStr">
        <is>
          <t>2022-02-09</t>
        </is>
      </c>
      <c r="B1732" t="n">
        <v>24.1173</v>
      </c>
      <c r="C1732" t="n">
        <v>34.7439</v>
      </c>
    </row>
    <row r="1733">
      <c r="A1733" t="inlineStr">
        <is>
          <t>2022-02-10</t>
        </is>
      </c>
      <c r="B1733" t="n">
        <v>24.1423</v>
      </c>
      <c r="C1733" t="n">
        <v>34.7789</v>
      </c>
    </row>
    <row r="1734">
      <c r="A1734" t="inlineStr">
        <is>
          <t>2022-02-11</t>
        </is>
      </c>
      <c r="B1734" t="n">
        <v>24.1065</v>
      </c>
      <c r="C1734" t="n">
        <v>34.7271</v>
      </c>
    </row>
    <row r="1735">
      <c r="A1735" t="inlineStr">
        <is>
          <t>2022-02-14</t>
        </is>
      </c>
      <c r="B1735" t="n">
        <v>23.9584</v>
      </c>
      <c r="C1735" t="n">
        <v>34.5138</v>
      </c>
    </row>
    <row r="1736">
      <c r="A1736" t="inlineStr">
        <is>
          <t>2022-02-15</t>
        </is>
      </c>
      <c r="B1736" t="n">
        <v>24.1593</v>
      </c>
      <c r="C1736" t="n">
        <v>34.8023</v>
      </c>
    </row>
    <row r="1737">
      <c r="A1737" t="inlineStr">
        <is>
          <t>2022-02-17</t>
        </is>
      </c>
      <c r="B1737" t="n">
        <v>24.3033</v>
      </c>
      <c r="C1737" t="n">
        <v>35.0104</v>
      </c>
    </row>
    <row r="1738">
      <c r="A1738" t="inlineStr">
        <is>
          <t>2022-02-18</t>
        </is>
      </c>
      <c r="B1738" t="n">
        <v>24.3265</v>
      </c>
      <c r="C1738" t="n">
        <v>35.043</v>
      </c>
    </row>
    <row r="1739">
      <c r="A1739" t="inlineStr">
        <is>
          <t>2022-02-21</t>
        </is>
      </c>
      <c r="B1739" t="n">
        <v>23.9449</v>
      </c>
      <c r="C1739" t="n">
        <v>34.498</v>
      </c>
    </row>
    <row r="1740">
      <c r="A1740" t="inlineStr">
        <is>
          <t>2022-02-22</t>
        </is>
      </c>
      <c r="B1740" t="n">
        <v>23.877</v>
      </c>
      <c r="C1740" t="n">
        <v>34.3996</v>
      </c>
    </row>
    <row r="1741">
      <c r="A1741" t="inlineStr">
        <is>
          <t>2022-02-23</t>
        </is>
      </c>
      <c r="B1741" t="n">
        <v>24.0071</v>
      </c>
      <c r="C1741" t="n">
        <v>34.5855</v>
      </c>
    </row>
    <row r="1742">
      <c r="A1742" t="inlineStr">
        <is>
          <t>2022-02-24</t>
        </is>
      </c>
      <c r="B1742" t="n">
        <v>23.6197</v>
      </c>
      <c r="C1742" t="n">
        <v>34.0285</v>
      </c>
    </row>
    <row r="1743">
      <c r="A1743" t="inlineStr">
        <is>
          <t>2022-02-25</t>
        </is>
      </c>
      <c r="B1743" t="n">
        <v>23.8002</v>
      </c>
      <c r="C1743" t="n">
        <v>34.2884</v>
      </c>
    </row>
    <row r="1744">
      <c r="A1744" t="inlineStr">
        <is>
          <t>2022-02-28</t>
        </is>
      </c>
      <c r="B1744" t="n">
        <v>23.9134</v>
      </c>
      <c r="C1744" t="n">
        <v>34.4509</v>
      </c>
    </row>
    <row r="1745">
      <c r="A1745" t="inlineStr">
        <is>
          <t>2022-03-01</t>
        </is>
      </c>
      <c r="B1745" t="n">
        <v>24.0319</v>
      </c>
      <c r="C1745" t="n">
        <v>34.6212</v>
      </c>
    </row>
    <row r="1746">
      <c r="A1746" t="inlineStr">
        <is>
          <t>2022-03-02</t>
        </is>
      </c>
      <c r="B1746" t="n">
        <v>24.0709</v>
      </c>
      <c r="C1746" t="n">
        <v>34.6775</v>
      </c>
    </row>
    <row r="1747">
      <c r="A1747" t="inlineStr">
        <is>
          <t>2022-03-03</t>
        </is>
      </c>
      <c r="B1747" t="n">
        <v>24.1881</v>
      </c>
      <c r="C1747" t="n">
        <v>34.8451</v>
      </c>
    </row>
    <row r="1748">
      <c r="A1748" t="inlineStr">
        <is>
          <t>2022-03-04</t>
        </is>
      </c>
      <c r="B1748" t="n">
        <v>23.8199</v>
      </c>
      <c r="C1748" t="n">
        <v>34.3246</v>
      </c>
    </row>
    <row r="1749">
      <c r="A1749" t="inlineStr">
        <is>
          <t>2022-03-07</t>
        </is>
      </c>
      <c r="B1749" t="n">
        <v>23.2094</v>
      </c>
      <c r="C1749" t="n">
        <v>33.4494</v>
      </c>
    </row>
    <row r="1750">
      <c r="A1750" t="inlineStr">
        <is>
          <t>2022-03-08</t>
        </is>
      </c>
      <c r="B1750" t="n">
        <v>23.1979</v>
      </c>
      <c r="C1750" t="n">
        <v>33.4317</v>
      </c>
    </row>
    <row r="1751">
      <c r="A1751" t="inlineStr">
        <is>
          <t>2022-03-09</t>
        </is>
      </c>
      <c r="B1751" t="n">
        <v>23.4869</v>
      </c>
      <c r="C1751" t="n">
        <v>33.848</v>
      </c>
    </row>
    <row r="1752">
      <c r="A1752" t="inlineStr">
        <is>
          <t>2022-03-10</t>
        </is>
      </c>
      <c r="B1752" t="n">
        <v>23.5665</v>
      </c>
      <c r="C1752" t="n">
        <v>33.9636</v>
      </c>
    </row>
    <row r="1753">
      <c r="A1753" t="inlineStr">
        <is>
          <t>2022-03-11</t>
        </is>
      </c>
      <c r="B1753" t="n">
        <v>23.7403</v>
      </c>
      <c r="C1753" t="n">
        <v>34.2138</v>
      </c>
    </row>
    <row r="1754">
      <c r="A1754" t="inlineStr">
        <is>
          <t>2022-03-14</t>
        </is>
      </c>
      <c r="B1754" t="n">
        <v>23.8141</v>
      </c>
      <c r="C1754" t="n">
        <v>34.3195</v>
      </c>
    </row>
    <row r="1755">
      <c r="A1755" t="inlineStr">
        <is>
          <t>2022-03-15</t>
        </is>
      </c>
      <c r="B1755" t="n">
        <v>23.5885</v>
      </c>
      <c r="C1755" t="n">
        <v>33.9953</v>
      </c>
    </row>
    <row r="1756">
      <c r="A1756" t="inlineStr">
        <is>
          <t>2022-03-16</t>
        </is>
      </c>
      <c r="B1756" t="n">
        <v>23.8969</v>
      </c>
      <c r="C1756" t="n">
        <v>34.4381</v>
      </c>
    </row>
    <row r="1757">
      <c r="A1757" t="inlineStr">
        <is>
          <t>2022-03-17</t>
        </is>
      </c>
      <c r="B1757" t="n">
        <v>24.069</v>
      </c>
      <c r="C1757" t="n">
        <v>34.685</v>
      </c>
    </row>
    <row r="1758">
      <c r="A1758" t="inlineStr">
        <is>
          <t>2022-03-18</t>
        </is>
      </c>
      <c r="B1758" t="n">
        <v>23.9712</v>
      </c>
      <c r="C1758" t="n">
        <v>34.545</v>
      </c>
    </row>
    <row r="1759">
      <c r="A1759" t="inlineStr">
        <is>
          <t>2022-03-21</t>
        </is>
      </c>
      <c r="B1759" t="n">
        <v>23.8754</v>
      </c>
      <c r="C1759" t="n">
        <v>34.4071</v>
      </c>
    </row>
    <row r="1760">
      <c r="A1760" t="inlineStr">
        <is>
          <t>2022-03-22</t>
        </is>
      </c>
      <c r="B1760" t="n">
        <v>23.9132</v>
      </c>
      <c r="C1760" t="n">
        <v>34.4623</v>
      </c>
    </row>
    <row r="1761">
      <c r="A1761" t="inlineStr">
        <is>
          <t>2022-03-23</t>
        </is>
      </c>
      <c r="B1761" t="n">
        <v>23.8202</v>
      </c>
      <c r="C1761" t="n">
        <v>34.3302</v>
      </c>
    </row>
    <row r="1762">
      <c r="A1762" t="inlineStr">
        <is>
          <t>2022-03-24</t>
        </is>
      </c>
      <c r="B1762" t="n">
        <v>23.9071</v>
      </c>
      <c r="C1762" t="n">
        <v>34.4553</v>
      </c>
    </row>
    <row r="1763">
      <c r="A1763" t="inlineStr">
        <is>
          <t>2022-03-25</t>
        </is>
      </c>
      <c r="B1763" t="n">
        <v>23.8241</v>
      </c>
      <c r="C1763" t="n">
        <v>34.3358</v>
      </c>
    </row>
    <row r="1764">
      <c r="A1764" t="inlineStr">
        <is>
          <t>2022-03-28</t>
        </is>
      </c>
      <c r="B1764" t="n">
        <v>23.9077</v>
      </c>
      <c r="C1764" t="n">
        <v>34.4554</v>
      </c>
    </row>
    <row r="1765">
      <c r="A1765" t="inlineStr">
        <is>
          <t>2022-03-29</t>
        </is>
      </c>
      <c r="B1765" t="n">
        <v>24.0101</v>
      </c>
      <c r="C1765" t="n">
        <v>34.6016</v>
      </c>
    </row>
    <row r="1766">
      <c r="A1766" t="inlineStr">
        <is>
          <t>2022-03-30</t>
        </is>
      </c>
      <c r="B1766" t="n">
        <v>24.151</v>
      </c>
      <c r="C1766" t="n">
        <v>34.8033</v>
      </c>
    </row>
    <row r="1767">
      <c r="A1767" t="inlineStr">
        <is>
          <t>2022-03-31</t>
        </is>
      </c>
      <c r="B1767" t="n">
        <v>24.0768</v>
      </c>
      <c r="C1767" t="n">
        <v>34.6965</v>
      </c>
    </row>
    <row r="1768">
      <c r="A1768" t="inlineStr">
        <is>
          <t>2022-04-01</t>
        </is>
      </c>
      <c r="B1768" t="n">
        <v>24.1698</v>
      </c>
      <c r="C1768" t="n">
        <v>34.8296</v>
      </c>
    </row>
    <row r="1769">
      <c r="A1769" t="inlineStr">
        <is>
          <t>2022-04-04</t>
        </is>
      </c>
      <c r="B1769" t="n">
        <v>24.149</v>
      </c>
      <c r="C1769" t="n">
        <v>34.7998</v>
      </c>
    </row>
    <row r="1770">
      <c r="A1770" t="inlineStr">
        <is>
          <t>2022-04-05</t>
        </is>
      </c>
      <c r="B1770" t="n">
        <v>24.1169</v>
      </c>
      <c r="C1770" t="n">
        <v>34.7539</v>
      </c>
    </row>
    <row r="1771">
      <c r="A1771" t="inlineStr">
        <is>
          <t>2022-04-07</t>
        </is>
      </c>
      <c r="B1771" t="n">
        <v>23.79</v>
      </c>
      <c r="C1771" t="n">
        <v>34.2849</v>
      </c>
    </row>
    <row r="1772">
      <c r="A1772" t="inlineStr">
        <is>
          <t>2022-04-08</t>
        </is>
      </c>
      <c r="B1772" t="n">
        <v>23.7918</v>
      </c>
      <c r="C1772" t="n">
        <v>34.2872</v>
      </c>
    </row>
    <row r="1773">
      <c r="A1773" t="inlineStr">
        <is>
          <t>2022-04-11</t>
        </is>
      </c>
      <c r="B1773" t="n">
        <v>23.7072</v>
      </c>
      <c r="C1773" t="n">
        <v>34.1654</v>
      </c>
    </row>
    <row r="1774">
      <c r="A1774" t="inlineStr">
        <is>
          <t>2022-04-12</t>
        </is>
      </c>
      <c r="B1774" t="n">
        <v>23.6475</v>
      </c>
      <c r="C1774" t="n">
        <v>34.0794</v>
      </c>
    </row>
    <row r="1775">
      <c r="A1775" t="inlineStr">
        <is>
          <t>2022-04-18</t>
        </is>
      </c>
      <c r="B1775" t="n">
        <v>23.6536</v>
      </c>
      <c r="C1775" t="n">
        <v>34.0881</v>
      </c>
    </row>
    <row r="1776">
      <c r="A1776" t="inlineStr">
        <is>
          <t>2022-04-19</t>
        </is>
      </c>
      <c r="B1776" t="n">
        <v>23.7474</v>
      </c>
      <c r="C1776" t="n">
        <v>34.2227</v>
      </c>
    </row>
    <row r="1777">
      <c r="A1777" t="inlineStr">
        <is>
          <t>2022-04-20</t>
        </is>
      </c>
      <c r="B1777" t="n">
        <v>23.7657</v>
      </c>
      <c r="C1777" t="n">
        <v>34.2486</v>
      </c>
    </row>
    <row r="1778">
      <c r="A1778" t="inlineStr">
        <is>
          <t>2022-04-21</t>
        </is>
      </c>
      <c r="B1778" t="n">
        <v>23.8578</v>
      </c>
      <c r="C1778" t="n">
        <v>34.3814</v>
      </c>
    </row>
    <row r="1779">
      <c r="A1779" t="inlineStr">
        <is>
          <t>2022-04-22</t>
        </is>
      </c>
      <c r="B1779" t="n">
        <v>23.8138</v>
      </c>
      <c r="C1779" t="n">
        <v>34.3183</v>
      </c>
    </row>
    <row r="1780">
      <c r="A1780" t="inlineStr">
        <is>
          <t>2022-04-25</t>
        </is>
      </c>
      <c r="B1780" t="n">
        <v>23.5815</v>
      </c>
      <c r="C1780" t="n">
        <v>33.9851</v>
      </c>
    </row>
    <row r="1781">
      <c r="A1781" t="inlineStr">
        <is>
          <t>2022-04-26</t>
        </is>
      </c>
      <c r="B1781" t="n">
        <v>23.5499</v>
      </c>
      <c r="C1781" t="n">
        <v>33.9394</v>
      </c>
    </row>
    <row r="1782">
      <c r="A1782" t="inlineStr">
        <is>
          <t>2022-04-27</t>
        </is>
      </c>
      <c r="B1782" t="n">
        <v>23.4782</v>
      </c>
      <c r="C1782" t="n">
        <v>33.8365</v>
      </c>
    </row>
    <row r="1783">
      <c r="A1783" t="inlineStr">
        <is>
          <t>2022-04-28</t>
        </is>
      </c>
      <c r="B1783" t="n">
        <v>23.605</v>
      </c>
      <c r="C1783" t="n">
        <v>34.0195</v>
      </c>
    </row>
    <row r="1784">
      <c r="A1784" t="inlineStr">
        <is>
          <t>2022-04-29</t>
        </is>
      </c>
      <c r="B1784" t="n">
        <v>23.6149</v>
      </c>
      <c r="C1784" t="n">
        <v>34.0355</v>
      </c>
    </row>
    <row r="1785">
      <c r="A1785" t="inlineStr">
        <is>
          <t>2022-05-03</t>
        </is>
      </c>
      <c r="B1785" t="n">
        <v>23.5091</v>
      </c>
      <c r="C1785" t="n">
        <v>33.8843</v>
      </c>
    </row>
    <row r="1786">
      <c r="A1786" t="inlineStr">
        <is>
          <t>2022-05-05</t>
        </is>
      </c>
      <c r="B1786" t="n">
        <v>23.4745</v>
      </c>
      <c r="C1786" t="n">
        <v>33.8334</v>
      </c>
    </row>
    <row r="1787">
      <c r="A1787" t="inlineStr">
        <is>
          <t>2022-05-06</t>
        </is>
      </c>
      <c r="B1787" t="n">
        <v>23.2291</v>
      </c>
      <c r="C1787" t="n">
        <v>33.479</v>
      </c>
    </row>
    <row r="1788">
      <c r="A1788" t="inlineStr">
        <is>
          <t>2022-05-09</t>
        </is>
      </c>
      <c r="B1788" t="n">
        <v>22.9363</v>
      </c>
      <c r="C1788" t="n">
        <v>33.0561</v>
      </c>
    </row>
    <row r="1789">
      <c r="A1789" t="inlineStr">
        <is>
          <t>2022-05-10</t>
        </is>
      </c>
      <c r="B1789" t="n">
        <v>23.2026</v>
      </c>
      <c r="C1789" t="n">
        <v>33.4414</v>
      </c>
    </row>
    <row r="1790">
      <c r="A1790" t="inlineStr">
        <is>
          <t>2022-05-11</t>
        </is>
      </c>
      <c r="B1790" t="n">
        <v>23.1115</v>
      </c>
      <c r="C1790" t="n">
        <v>33.3102</v>
      </c>
    </row>
    <row r="1791">
      <c r="A1791" t="inlineStr">
        <is>
          <t>2022-05-12</t>
        </is>
      </c>
      <c r="B1791" t="n">
        <v>22.8404</v>
      </c>
      <c r="C1791" t="n">
        <v>32.9182</v>
      </c>
    </row>
    <row r="1792">
      <c r="A1792" t="inlineStr">
        <is>
          <t>2022-05-13</t>
        </is>
      </c>
      <c r="B1792" t="n">
        <v>22.9134</v>
      </c>
      <c r="C1792" t="n">
        <v>33.023</v>
      </c>
    </row>
    <row r="1793">
      <c r="A1793" t="inlineStr">
        <is>
          <t>2022-05-17</t>
        </is>
      </c>
      <c r="B1793" t="n">
        <v>22.625</v>
      </c>
      <c r="C1793" t="n">
        <v>33.6219</v>
      </c>
    </row>
    <row r="1794">
      <c r="A1794" t="inlineStr">
        <is>
          <t>2022-05-18</t>
        </is>
      </c>
      <c r="B1794" t="n">
        <v>22.7796</v>
      </c>
      <c r="C1794" t="n">
        <v>33.8448</v>
      </c>
    </row>
    <row r="1795">
      <c r="A1795" t="inlineStr">
        <is>
          <t>2022-05-19</t>
        </is>
      </c>
      <c r="B1795" t="n">
        <v>22.5351</v>
      </c>
      <c r="C1795" t="n">
        <v>33.4942</v>
      </c>
    </row>
    <row r="1796">
      <c r="A1796" t="inlineStr">
        <is>
          <t>2022-05-20</t>
        </is>
      </c>
      <c r="B1796" t="n">
        <v>22.7791</v>
      </c>
      <c r="C1796" t="n">
        <v>33.8556</v>
      </c>
    </row>
    <row r="1797">
      <c r="A1797" t="inlineStr">
        <is>
          <t>2022-05-23</t>
        </is>
      </c>
      <c r="B1797" t="n">
        <v>22.9997</v>
      </c>
      <c r="C1797" t="n">
        <v>34.1835</v>
      </c>
    </row>
    <row r="1798">
      <c r="A1798" t="inlineStr">
        <is>
          <t>2022-05-24</t>
        </is>
      </c>
      <c r="B1798" t="n">
        <v>22.8282</v>
      </c>
      <c r="C1798" t="n">
        <v>33.9287</v>
      </c>
    </row>
    <row r="1799">
      <c r="A1799" t="inlineStr">
        <is>
          <t>2022-05-25</t>
        </is>
      </c>
      <c r="B1799" t="n">
        <v>22.7794</v>
      </c>
      <c r="C1799" t="n">
        <v>33.8559</v>
      </c>
    </row>
    <row r="1800">
      <c r="A1800" t="inlineStr">
        <is>
          <t>2022-05-26</t>
        </is>
      </c>
      <c r="B1800" t="n">
        <v>22.909</v>
      </c>
      <c r="C1800" t="n">
        <v>34.0495</v>
      </c>
    </row>
    <row r="1801">
      <c r="A1801" t="inlineStr">
        <is>
          <t>2022-05-27</t>
        </is>
      </c>
      <c r="B1801" t="n">
        <v>23.0013</v>
      </c>
      <c r="C1801" t="n">
        <v>34.1863</v>
      </c>
    </row>
    <row r="1802">
      <c r="A1802" t="inlineStr">
        <is>
          <t>2022-05-30</t>
        </is>
      </c>
      <c r="B1802" t="n">
        <v>23.2036</v>
      </c>
      <c r="C1802" t="n">
        <v>34.4878</v>
      </c>
    </row>
    <row r="1803">
      <c r="A1803" t="inlineStr">
        <is>
          <t>2022-05-31</t>
        </is>
      </c>
      <c r="B1803" t="n">
        <v>23.355</v>
      </c>
      <c r="C1803" t="n">
        <v>34.7124</v>
      </c>
    </row>
    <row r="1804">
      <c r="A1804" t="inlineStr">
        <is>
          <t>2022-06-01</t>
        </is>
      </c>
      <c r="B1804" t="n">
        <v>23.3554</v>
      </c>
      <c r="C1804" t="n">
        <v>34.7131</v>
      </c>
    </row>
    <row r="1805">
      <c r="A1805" t="inlineStr">
        <is>
          <t>2022-06-02</t>
        </is>
      </c>
      <c r="B1805" t="n">
        <v>23.2074</v>
      </c>
      <c r="C1805" t="n">
        <v>34.4941</v>
      </c>
    </row>
    <row r="1806">
      <c r="A1806" t="inlineStr">
        <is>
          <t>2022-06-06</t>
        </is>
      </c>
      <c r="B1806" t="n">
        <v>23.1911</v>
      </c>
      <c r="C1806" t="n">
        <v>34.4691</v>
      </c>
    </row>
    <row r="1807">
      <c r="A1807" t="inlineStr">
        <is>
          <t>2022-06-07</t>
        </is>
      </c>
      <c r="B1807" t="n">
        <v>22.9789</v>
      </c>
      <c r="C1807" t="n">
        <v>34.153</v>
      </c>
    </row>
    <row r="1808">
      <c r="A1808" t="inlineStr">
        <is>
          <t>2022-06-08</t>
        </is>
      </c>
      <c r="B1808" t="n">
        <v>23.0388</v>
      </c>
      <c r="C1808" t="n">
        <v>34.2417</v>
      </c>
    </row>
    <row r="1809">
      <c r="A1809" t="inlineStr">
        <is>
          <t>2022-06-09</t>
        </is>
      </c>
      <c r="B1809" t="n">
        <v>23.1426</v>
      </c>
      <c r="C1809" t="n">
        <v>34.3958</v>
      </c>
    </row>
    <row r="1810">
      <c r="A1810" t="inlineStr">
        <is>
          <t>2022-06-10</t>
        </is>
      </c>
      <c r="B1810" t="n">
        <v>23.0141</v>
      </c>
      <c r="C1810" t="n">
        <v>34.2041</v>
      </c>
    </row>
    <row r="1811">
      <c r="A1811" t="inlineStr">
        <is>
          <t>2022-06-13</t>
        </is>
      </c>
      <c r="B1811" t="n">
        <v>22.5753</v>
      </c>
      <c r="C1811" t="n">
        <v>33.5524</v>
      </c>
    </row>
    <row r="1812">
      <c r="A1812" t="inlineStr">
        <is>
          <t>2022-06-14</t>
        </is>
      </c>
      <c r="B1812" t="n">
        <v>22.62</v>
      </c>
      <c r="C1812" t="n">
        <v>33.6189</v>
      </c>
    </row>
    <row r="1813">
      <c r="A1813" t="inlineStr">
        <is>
          <t>2022-06-15</t>
        </is>
      </c>
      <c r="B1813" t="n">
        <v>22.5091</v>
      </c>
      <c r="C1813" t="n">
        <v>33.4538</v>
      </c>
    </row>
    <row r="1814">
      <c r="A1814" t="inlineStr">
        <is>
          <t>2022-06-16</t>
        </is>
      </c>
      <c r="B1814" t="n">
        <v>22.0219</v>
      </c>
      <c r="C1814" t="n">
        <v>32.7295</v>
      </c>
    </row>
    <row r="1815">
      <c r="A1815" t="inlineStr">
        <is>
          <t>2022-06-17</t>
        </is>
      </c>
      <c r="B1815" t="n">
        <v>22.0248</v>
      </c>
      <c r="C1815" t="n">
        <v>32.734</v>
      </c>
    </row>
    <row r="1816">
      <c r="A1816" t="inlineStr">
        <is>
          <t>2022-06-20</t>
        </is>
      </c>
      <c r="B1816" t="n">
        <v>22.0538</v>
      </c>
      <c r="C1816" t="n">
        <v>32.7767</v>
      </c>
    </row>
    <row r="1817">
      <c r="A1817" t="inlineStr">
        <is>
          <t>2022-06-21</t>
        </is>
      </c>
      <c r="B1817" t="n">
        <v>22.2477</v>
      </c>
      <c r="C1817" t="n">
        <v>33.0648</v>
      </c>
    </row>
    <row r="1818">
      <c r="A1818" t="inlineStr">
        <is>
          <t>2022-06-22</t>
        </is>
      </c>
      <c r="B1818" t="n">
        <v>22.0403</v>
      </c>
      <c r="C1818" t="n">
        <v>32.7569</v>
      </c>
    </row>
    <row r="1819">
      <c r="A1819" t="inlineStr">
        <is>
          <t>2022-06-23</t>
        </is>
      </c>
      <c r="B1819" t="n">
        <v>21.9848</v>
      </c>
      <c r="C1819" t="n">
        <v>32.6751</v>
      </c>
    </row>
    <row r="1820">
      <c r="A1820" t="inlineStr">
        <is>
          <t>2022-06-24</t>
        </is>
      </c>
      <c r="B1820" t="n">
        <v>22.1451</v>
      </c>
      <c r="C1820" t="n">
        <v>32.9133</v>
      </c>
    </row>
    <row r="1821">
      <c r="A1821" t="inlineStr">
        <is>
          <t>2022-06-27</t>
        </is>
      </c>
      <c r="B1821" t="n">
        <v>22.3379</v>
      </c>
      <c r="C1821" t="n">
        <v>33.1991</v>
      </c>
    </row>
    <row r="1822">
      <c r="A1822" t="inlineStr">
        <is>
          <t>2022-06-28</t>
        </is>
      </c>
      <c r="B1822" t="n">
        <v>22.5701</v>
      </c>
      <c r="C1822" t="n">
        <v>33.5435</v>
      </c>
    </row>
    <row r="1823">
      <c r="A1823" t="inlineStr">
        <is>
          <t>2022-06-29</t>
        </is>
      </c>
      <c r="B1823" t="n">
        <v>22.4388</v>
      </c>
      <c r="C1823" t="n">
        <v>33.3488</v>
      </c>
    </row>
    <row r="1824">
      <c r="A1824" t="inlineStr">
        <is>
          <t>2022-06-30</t>
        </is>
      </c>
      <c r="B1824" t="n">
        <v>22.1596</v>
      </c>
      <c r="C1824" t="n">
        <v>32.9085</v>
      </c>
    </row>
    <row r="1825">
      <c r="A1825" t="inlineStr">
        <is>
          <t>2022-07-01</t>
        </is>
      </c>
      <c r="B1825" t="n">
        <v>22.2727</v>
      </c>
      <c r="C1825" t="n">
        <v>33.0745</v>
      </c>
    </row>
    <row r="1826">
      <c r="A1826" t="inlineStr">
        <is>
          <t>2022-07-04</t>
        </is>
      </c>
      <c r="B1826" t="n">
        <v>22.1525</v>
      </c>
      <c r="C1826" t="n">
        <v>32.8959</v>
      </c>
    </row>
    <row r="1827">
      <c r="A1827" t="inlineStr">
        <is>
          <t>2022-07-05</t>
        </is>
      </c>
      <c r="B1827" t="n">
        <v>21.982</v>
      </c>
      <c r="C1827" t="n">
        <v>32.6418</v>
      </c>
    </row>
    <row r="1828">
      <c r="A1828" t="inlineStr">
        <is>
          <t>2022-07-06</t>
        </is>
      </c>
      <c r="B1828" t="n">
        <v>21.9976</v>
      </c>
      <c r="C1828" t="n">
        <v>32.6639</v>
      </c>
    </row>
    <row r="1829">
      <c r="A1829" t="inlineStr">
        <is>
          <t>2022-07-07</t>
        </is>
      </c>
      <c r="B1829" t="n">
        <v>22.2445</v>
      </c>
      <c r="C1829" t="n">
        <v>33.0317</v>
      </c>
    </row>
    <row r="1830">
      <c r="A1830" t="inlineStr">
        <is>
          <t>2022-07-08</t>
        </is>
      </c>
      <c r="B1830" t="n">
        <v>22.2325</v>
      </c>
      <c r="C1830" t="n">
        <v>33.0143</v>
      </c>
    </row>
    <row r="1831">
      <c r="A1831" t="inlineStr">
        <is>
          <t>2022-07-11</t>
        </is>
      </c>
      <c r="B1831" t="n">
        <v>22.2632</v>
      </c>
      <c r="C1831" t="n">
        <v>33.0602</v>
      </c>
    </row>
    <row r="1832">
      <c r="A1832" t="inlineStr">
        <is>
          <t>2022-07-12</t>
        </is>
      </c>
      <c r="B1832" t="n">
        <v>22.0954</v>
      </c>
      <c r="C1832" t="n">
        <v>32.8102</v>
      </c>
    </row>
    <row r="1833">
      <c r="A1833" t="inlineStr">
        <is>
          <t>2022-07-14</t>
        </is>
      </c>
      <c r="B1833" t="n">
        <v>21.9571</v>
      </c>
      <c r="C1833" t="n">
        <v>32.605</v>
      </c>
    </row>
    <row r="1834">
      <c r="A1834" t="inlineStr">
        <is>
          <t>2022-07-15</t>
        </is>
      </c>
      <c r="B1834" t="n">
        <v>21.9178</v>
      </c>
      <c r="C1834" t="n">
        <v>32.547</v>
      </c>
    </row>
    <row r="1835">
      <c r="A1835" t="inlineStr">
        <is>
          <t>2022-07-18</t>
        </is>
      </c>
      <c r="B1835" t="n">
        <v>22.08</v>
      </c>
      <c r="C1835" t="n">
        <v>32.7882</v>
      </c>
    </row>
    <row r="1836">
      <c r="A1836" t="inlineStr">
        <is>
          <t>2022-07-19</t>
        </is>
      </c>
      <c r="B1836" t="n">
        <v>21.9015</v>
      </c>
      <c r="C1836" t="n">
        <v>32.5228</v>
      </c>
    </row>
    <row r="1837">
      <c r="A1837" t="inlineStr">
        <is>
          <t>2022-07-20</t>
        </is>
      </c>
      <c r="B1837" t="n">
        <v>21.9399</v>
      </c>
      <c r="C1837" t="n">
        <v>32.5804</v>
      </c>
    </row>
    <row r="1838">
      <c r="A1838" t="inlineStr">
        <is>
          <t>2022-07-21</t>
        </is>
      </c>
      <c r="B1838" t="n">
        <v>22.0096</v>
      </c>
      <c r="C1838" t="n">
        <v>32.6841</v>
      </c>
    </row>
    <row r="1839">
      <c r="A1839" t="inlineStr">
        <is>
          <t>2022-07-22</t>
        </is>
      </c>
      <c r="B1839" t="n">
        <v>22.1302</v>
      </c>
      <c r="C1839" t="n">
        <v>32.863</v>
      </c>
    </row>
    <row r="1840">
      <c r="A1840" t="inlineStr">
        <is>
          <t>2022-07-25</t>
        </is>
      </c>
      <c r="B1840" t="n">
        <v>22.1956</v>
      </c>
      <c r="C1840" t="n">
        <v>32.9599</v>
      </c>
    </row>
    <row r="1841">
      <c r="A1841" t="inlineStr">
        <is>
          <t>2022-07-26</t>
        </is>
      </c>
      <c r="B1841" t="n">
        <v>22.1336</v>
      </c>
      <c r="C1841" t="n">
        <v>32.8681</v>
      </c>
    </row>
    <row r="1842">
      <c r="A1842" t="inlineStr">
        <is>
          <t>2022-07-27</t>
        </is>
      </c>
      <c r="B1842" t="n">
        <v>22.3297</v>
      </c>
      <c r="C1842" t="n">
        <v>33.1589</v>
      </c>
    </row>
    <row r="1843">
      <c r="A1843" t="inlineStr">
        <is>
          <t>2022-08-01</t>
        </is>
      </c>
      <c r="B1843" t="n">
        <v>22.4857</v>
      </c>
      <c r="C1843" t="n">
        <v>33.3899</v>
      </c>
    </row>
    <row r="1844">
      <c r="A1844" t="inlineStr">
        <is>
          <t>2022-08-02</t>
        </is>
      </c>
      <c r="B1844" t="n">
        <v>22.4881</v>
      </c>
      <c r="C1844" t="n">
        <v>33.3937</v>
      </c>
    </row>
    <row r="1845">
      <c r="A1845" t="inlineStr">
        <is>
          <t>2022-08-03</t>
        </is>
      </c>
      <c r="B1845" t="n">
        <v>22.5273</v>
      </c>
      <c r="C1845" t="n">
        <v>33.4519</v>
      </c>
    </row>
    <row r="1846">
      <c r="A1846" t="inlineStr">
        <is>
          <t>2022-08-04</t>
        </is>
      </c>
      <c r="B1846" t="n">
        <v>22.5298</v>
      </c>
      <c r="C1846" t="n">
        <v>33.4548</v>
      </c>
    </row>
    <row r="1847">
      <c r="A1847" t="inlineStr">
        <is>
          <t>2022-08-05</t>
        </is>
      </c>
      <c r="B1847" t="n">
        <v>22.5787</v>
      </c>
      <c r="C1847" t="n">
        <v>33.5272</v>
      </c>
    </row>
    <row r="1848">
      <c r="A1848" t="inlineStr">
        <is>
          <t>2022-08-08</t>
        </is>
      </c>
      <c r="B1848" t="n">
        <v>22.8029</v>
      </c>
      <c r="C1848" t="n">
        <v>33.86</v>
      </c>
    </row>
    <row r="1849">
      <c r="A1849" t="inlineStr">
        <is>
          <t>2022-08-09</t>
        </is>
      </c>
      <c r="B1849" t="n">
        <v>22.8757</v>
      </c>
      <c r="C1849" t="n">
        <v>33.9685</v>
      </c>
    </row>
    <row r="1850">
      <c r="A1850" t="inlineStr">
        <is>
          <t>2022-08-10</t>
        </is>
      </c>
      <c r="B1850" t="n">
        <v>22.9093</v>
      </c>
      <c r="C1850" t="n">
        <v>34.0185</v>
      </c>
    </row>
    <row r="1851">
      <c r="A1851" t="inlineStr">
        <is>
          <t>2022-08-11</t>
        </is>
      </c>
      <c r="B1851" t="n">
        <v>22.9674</v>
      </c>
      <c r="C1851" t="n">
        <v>34.1041</v>
      </c>
    </row>
    <row r="1852">
      <c r="A1852" t="inlineStr">
        <is>
          <t>2022-08-15</t>
        </is>
      </c>
      <c r="B1852" t="n">
        <v>23.0211</v>
      </c>
      <c r="C1852" t="n">
        <v>34.1839</v>
      </c>
    </row>
    <row r="1853">
      <c r="A1853" t="inlineStr">
        <is>
          <t>2022-08-16</t>
        </is>
      </c>
      <c r="B1853" t="n">
        <v>23.0209</v>
      </c>
      <c r="C1853" t="n">
        <v>34.1844</v>
      </c>
    </row>
    <row r="1854">
      <c r="A1854" t="inlineStr">
        <is>
          <t>2022-08-17</t>
        </is>
      </c>
      <c r="B1854" t="n">
        <v>23.1318</v>
      </c>
      <c r="C1854" t="n">
        <v>34.3488</v>
      </c>
    </row>
    <row r="1855">
      <c r="A1855" t="inlineStr">
        <is>
          <t>2022-08-18</t>
        </is>
      </c>
      <c r="B1855" t="n">
        <v>23.0736</v>
      </c>
      <c r="C1855" t="n">
        <v>34.2629</v>
      </c>
    </row>
    <row r="1856">
      <c r="A1856" t="inlineStr">
        <is>
          <t>2022-08-19</t>
        </is>
      </c>
      <c r="B1856" t="n">
        <v>22.9615</v>
      </c>
      <c r="C1856" t="n">
        <v>34.0968</v>
      </c>
    </row>
    <row r="1857">
      <c r="A1857" t="inlineStr">
        <is>
          <t>2022-08-22</t>
        </is>
      </c>
      <c r="B1857" t="n">
        <v>22.8003</v>
      </c>
      <c r="C1857" t="n">
        <v>33.858</v>
      </c>
    </row>
    <row r="1858">
      <c r="A1858" t="inlineStr">
        <is>
          <t>2022-08-23</t>
        </is>
      </c>
      <c r="B1858" t="n">
        <v>23.0569</v>
      </c>
      <c r="C1858" t="n">
        <v>34.238</v>
      </c>
    </row>
    <row r="1859">
      <c r="A1859" t="inlineStr">
        <is>
          <t>2022-08-24</t>
        </is>
      </c>
      <c r="B1859" t="n">
        <v>23.093</v>
      </c>
      <c r="C1859" t="n">
        <v>34.2921</v>
      </c>
    </row>
    <row r="1860">
      <c r="A1860" t="inlineStr">
        <is>
          <t>2022-08-25</t>
        </is>
      </c>
      <c r="B1860" t="n">
        <v>23.2755</v>
      </c>
      <c r="C1860" t="n">
        <v>34.5614</v>
      </c>
    </row>
    <row r="1861">
      <c r="A1861" t="inlineStr">
        <is>
          <t>2022-08-26</t>
        </is>
      </c>
      <c r="B1861" t="n">
        <v>23.2766</v>
      </c>
      <c r="C1861" t="n">
        <v>34.5635</v>
      </c>
    </row>
    <row r="1862">
      <c r="A1862" t="inlineStr">
        <is>
          <t>2022-08-29</t>
        </is>
      </c>
      <c r="B1862" t="n">
        <v>23.0354</v>
      </c>
      <c r="C1862" t="n">
        <v>34.2066</v>
      </c>
    </row>
    <row r="1863">
      <c r="A1863" t="inlineStr">
        <is>
          <t>2022-08-30</t>
        </is>
      </c>
      <c r="B1863" t="n">
        <v>23.2607</v>
      </c>
      <c r="C1863" t="n">
        <v>34.5402</v>
      </c>
    </row>
    <row r="1864">
      <c r="A1864" t="inlineStr">
        <is>
          <t>2022-08-31</t>
        </is>
      </c>
      <c r="B1864" t="n">
        <v>23.3009</v>
      </c>
      <c r="C1864" t="n">
        <v>34.5993</v>
      </c>
    </row>
    <row r="1865">
      <c r="A1865" t="inlineStr">
        <is>
          <t>2022-09-01</t>
        </is>
      </c>
      <c r="B1865" t="n">
        <v>23.0269</v>
      </c>
      <c r="C1865" t="n">
        <v>34.1933</v>
      </c>
    </row>
    <row r="1866">
      <c r="A1866" t="inlineStr">
        <is>
          <t>2022-09-02</t>
        </is>
      </c>
      <c r="B1866" t="n">
        <v>23.0279</v>
      </c>
      <c r="C1866" t="n">
        <v>34.1947</v>
      </c>
    </row>
    <row r="1867">
      <c r="A1867" t="inlineStr">
        <is>
          <t>2022-09-05</t>
        </is>
      </c>
      <c r="B1867" t="n">
        <v>22.9977</v>
      </c>
      <c r="C1867" t="n">
        <v>34.1501</v>
      </c>
    </row>
    <row r="1868">
      <c r="A1868" t="inlineStr">
        <is>
          <t>2022-09-06</t>
        </is>
      </c>
      <c r="B1868" t="n">
        <v>23.1917</v>
      </c>
      <c r="C1868" t="n">
        <v>34.4381</v>
      </c>
    </row>
    <row r="1869">
      <c r="A1869" t="inlineStr">
        <is>
          <t>2022-09-07</t>
        </is>
      </c>
      <c r="B1869" t="n">
        <v>23.1621</v>
      </c>
      <c r="C1869" t="n">
        <v>34.3954</v>
      </c>
    </row>
    <row r="1870">
      <c r="A1870" t="inlineStr">
        <is>
          <t>2022-09-08</t>
        </is>
      </c>
      <c r="B1870" t="n">
        <v>23.119</v>
      </c>
      <c r="C1870" t="n">
        <v>34.3308</v>
      </c>
    </row>
    <row r="1871">
      <c r="A1871" t="inlineStr">
        <is>
          <t>2022-09-09</t>
        </is>
      </c>
      <c r="B1871" t="n">
        <v>23.2614</v>
      </c>
      <c r="C1871" t="n">
        <v>34.5418</v>
      </c>
    </row>
    <row r="1872">
      <c r="A1872" t="inlineStr">
        <is>
          <t>2022-09-12</t>
        </is>
      </c>
      <c r="B1872" t="n">
        <v>23.4393</v>
      </c>
      <c r="C1872" t="n">
        <v>34.8057</v>
      </c>
    </row>
    <row r="1873">
      <c r="A1873" t="inlineStr">
        <is>
          <t>2022-09-13</t>
        </is>
      </c>
      <c r="B1873" t="n">
        <v>23.456</v>
      </c>
      <c r="C1873" t="n">
        <v>34.8297</v>
      </c>
    </row>
    <row r="1874">
      <c r="A1874" t="inlineStr">
        <is>
          <t>2022-09-14</t>
        </is>
      </c>
      <c r="B1874" t="n">
        <v>23.3459</v>
      </c>
      <c r="C1874" t="n">
        <v>34.6679</v>
      </c>
    </row>
    <row r="1875">
      <c r="A1875" t="inlineStr">
        <is>
          <t>2022-09-15</t>
        </is>
      </c>
      <c r="B1875" t="n">
        <v>23.1736</v>
      </c>
      <c r="C1875" t="n">
        <v>34.4129</v>
      </c>
    </row>
    <row r="1876">
      <c r="A1876" t="inlineStr">
        <is>
          <t>2022-09-16</t>
        </is>
      </c>
      <c r="B1876" t="n">
        <v>22.9952</v>
      </c>
      <c r="C1876" t="n">
        <v>34.1491</v>
      </c>
    </row>
    <row r="1877">
      <c r="A1877" t="inlineStr">
        <is>
          <t>2022-09-19</t>
        </is>
      </c>
      <c r="B1877" t="n">
        <v>22.9934</v>
      </c>
      <c r="C1877" t="n">
        <v>34.1457</v>
      </c>
    </row>
    <row r="1878">
      <c r="A1878" t="inlineStr">
        <is>
          <t>2022-09-20</t>
        </is>
      </c>
      <c r="B1878" t="n">
        <v>23.0928</v>
      </c>
      <c r="C1878" t="n">
        <v>34.2939</v>
      </c>
    </row>
    <row r="1879">
      <c r="A1879" t="inlineStr">
        <is>
          <t>2022-09-21</t>
        </is>
      </c>
      <c r="B1879" t="n">
        <v>23.0402</v>
      </c>
      <c r="C1879" t="n">
        <v>34.2155</v>
      </c>
    </row>
    <row r="1880">
      <c r="A1880" t="inlineStr">
        <is>
          <t>2022-09-22</t>
        </is>
      </c>
      <c r="B1880" t="n">
        <v>23.1734</v>
      </c>
      <c r="C1880" t="n">
        <v>34.4126</v>
      </c>
    </row>
    <row r="1881">
      <c r="A1881" t="inlineStr">
        <is>
          <t>2022-09-23</t>
        </is>
      </c>
      <c r="B1881" t="n">
        <v>22.9795</v>
      </c>
      <c r="C1881" t="n">
        <v>34.1255</v>
      </c>
    </row>
    <row r="1882">
      <c r="A1882" t="inlineStr">
        <is>
          <t>2022-09-26</t>
        </is>
      </c>
      <c r="B1882" t="n">
        <v>22.8385</v>
      </c>
      <c r="C1882" t="n">
        <v>33.9175</v>
      </c>
    </row>
    <row r="1883">
      <c r="A1883" t="inlineStr">
        <is>
          <t>2022-09-27</t>
        </is>
      </c>
      <c r="B1883" t="n">
        <v>22.7871</v>
      </c>
      <c r="C1883" t="n">
        <v>33.8413</v>
      </c>
    </row>
    <row r="1884">
      <c r="A1884" t="inlineStr">
        <is>
          <t>2022-09-28</t>
        </is>
      </c>
      <c r="B1884" t="n">
        <v>22.6481</v>
      </c>
      <c r="C1884" t="n">
        <v>33.6352</v>
      </c>
    </row>
    <row r="1885">
      <c r="A1885" t="inlineStr">
        <is>
          <t>2022-09-29</t>
        </is>
      </c>
      <c r="B1885" t="n">
        <v>22.4845</v>
      </c>
      <c r="C1885" t="n">
        <v>33.3919</v>
      </c>
    </row>
    <row r="1886">
      <c r="A1886" t="inlineStr">
        <is>
          <t>2022-09-30</t>
        </is>
      </c>
      <c r="B1886" t="n">
        <v>22.4306</v>
      </c>
      <c r="C1886" t="n">
        <v>33.3121</v>
      </c>
    </row>
    <row r="1887">
      <c r="A1887" t="inlineStr">
        <is>
          <t>2022-10-03</t>
        </is>
      </c>
      <c r="B1887" t="n">
        <v>22.0345</v>
      </c>
      <c r="C1887" t="n">
        <v>32.726</v>
      </c>
    </row>
    <row r="1888">
      <c r="A1888" t="inlineStr">
        <is>
          <t>2022-10-04</t>
        </is>
      </c>
      <c r="B1888" t="n">
        <v>22.2541</v>
      </c>
      <c r="C1888" t="n">
        <v>33.0512</v>
      </c>
    </row>
    <row r="1889">
      <c r="A1889" t="inlineStr">
        <is>
          <t>2022-10-05</t>
        </is>
      </c>
      <c r="B1889" t="n">
        <v>22.2868</v>
      </c>
      <c r="C1889" t="n">
        <v>33.1003</v>
      </c>
    </row>
    <row r="1890">
      <c r="A1890" t="inlineStr">
        <is>
          <t>2022-10-06</t>
        </is>
      </c>
      <c r="B1890" t="n">
        <v>22.3294</v>
      </c>
      <c r="C1890" t="n">
        <v>33.1636</v>
      </c>
    </row>
    <row r="1891">
      <c r="A1891" t="inlineStr">
        <is>
          <t>2022-10-07</t>
        </is>
      </c>
      <c r="B1891" t="n">
        <v>22.2438</v>
      </c>
      <c r="C1891" t="n">
        <v>33.0362</v>
      </c>
    </row>
    <row r="1892">
      <c r="A1892" t="inlineStr">
        <is>
          <t>2022-10-10</t>
        </is>
      </c>
      <c r="B1892" t="n">
        <v>22.1045</v>
      </c>
      <c r="C1892" t="n">
        <v>32.8292</v>
      </c>
    </row>
    <row r="1893">
      <c r="A1893" t="inlineStr">
        <is>
          <t>2022-10-11</t>
        </is>
      </c>
      <c r="B1893" t="n">
        <v>22.0245</v>
      </c>
      <c r="C1893" t="n">
        <v>32.7106</v>
      </c>
    </row>
    <row r="1894">
      <c r="A1894" t="inlineStr">
        <is>
          <t>2022-10-12</t>
        </is>
      </c>
      <c r="B1894" t="n">
        <v>22.0497</v>
      </c>
      <c r="C1894" t="n">
        <v>32.7477</v>
      </c>
    </row>
    <row r="1895">
      <c r="A1895" t="inlineStr">
        <is>
          <t>2022-10-17</t>
        </is>
      </c>
      <c r="B1895" t="n">
        <v>22.1612</v>
      </c>
      <c r="C1895" t="n">
        <v>32.9131</v>
      </c>
    </row>
    <row r="1896">
      <c r="A1896" t="inlineStr">
        <is>
          <t>2022-10-18</t>
        </is>
      </c>
      <c r="B1896" t="n">
        <v>22.3958</v>
      </c>
      <c r="C1896" t="n">
        <v>33.2635</v>
      </c>
    </row>
    <row r="1897">
      <c r="A1897" t="inlineStr">
        <is>
          <t>2022-10-19</t>
        </is>
      </c>
      <c r="B1897" t="n">
        <v>22.3978</v>
      </c>
      <c r="C1897" t="n">
        <v>33.2686</v>
      </c>
    </row>
    <row r="1898">
      <c r="A1898" t="inlineStr">
        <is>
          <t>2022-10-20</t>
        </is>
      </c>
      <c r="B1898" t="n">
        <v>22.6014</v>
      </c>
      <c r="C1898" t="n">
        <v>33.5707</v>
      </c>
    </row>
    <row r="1899">
      <c r="A1899" t="inlineStr">
        <is>
          <t>2022-10-21</t>
        </is>
      </c>
      <c r="B1899" t="n">
        <v>22.5986</v>
      </c>
      <c r="C1899" t="n">
        <v>33.5667</v>
      </c>
    </row>
    <row r="1900">
      <c r="A1900" t="inlineStr">
        <is>
          <t>2022-10-25</t>
        </is>
      </c>
      <c r="B1900" t="n">
        <v>22.7306</v>
      </c>
      <c r="C1900" t="n">
        <v>33.7638</v>
      </c>
    </row>
    <row r="1901">
      <c r="A1901" t="inlineStr">
        <is>
          <t>2022-10-26</t>
        </is>
      </c>
      <c r="B1901" t="n">
        <v>22.7309</v>
      </c>
      <c r="C1901" t="n">
        <v>33.764</v>
      </c>
    </row>
    <row r="1902">
      <c r="A1902" t="inlineStr">
        <is>
          <t>2022-10-27</t>
        </is>
      </c>
      <c r="B1902" t="n">
        <v>22.9085</v>
      </c>
      <c r="C1902" t="n">
        <v>34.0282</v>
      </c>
    </row>
    <row r="1903">
      <c r="A1903" t="inlineStr">
        <is>
          <t>2022-10-28</t>
        </is>
      </c>
      <c r="B1903" t="n">
        <v>22.9457</v>
      </c>
      <c r="C1903" t="n">
        <v>34.0845</v>
      </c>
    </row>
    <row r="1904">
      <c r="A1904" t="inlineStr">
        <is>
          <t>2022-10-31</t>
        </is>
      </c>
      <c r="B1904" t="n">
        <v>23.0114</v>
      </c>
      <c r="C1904" t="n">
        <v>34.1817</v>
      </c>
    </row>
    <row r="1905">
      <c r="A1905" t="inlineStr">
        <is>
          <t>2022-11-01</t>
        </is>
      </c>
      <c r="B1905" t="n">
        <v>23.2463</v>
      </c>
      <c r="C1905" t="n">
        <v>34.5307</v>
      </c>
    </row>
    <row r="1906">
      <c r="A1906" t="inlineStr">
        <is>
          <t>2022-11-02</t>
        </is>
      </c>
      <c r="B1906" t="n">
        <v>23.2919</v>
      </c>
      <c r="C1906" t="n">
        <v>34.5981</v>
      </c>
    </row>
    <row r="1907">
      <c r="A1907" t="inlineStr">
        <is>
          <t>2022-11-03</t>
        </is>
      </c>
      <c r="B1907" t="n">
        <v>23.2485</v>
      </c>
      <c r="C1907" t="n">
        <v>34.5337</v>
      </c>
    </row>
    <row r="1908">
      <c r="A1908" t="inlineStr">
        <is>
          <t>2022-11-04</t>
        </is>
      </c>
      <c r="B1908" t="n">
        <v>23.2507</v>
      </c>
      <c r="C1908" t="n">
        <v>34.5372</v>
      </c>
    </row>
    <row r="1909">
      <c r="A1909" t="inlineStr">
        <is>
          <t>2022-11-07</t>
        </is>
      </c>
      <c r="B1909" t="n">
        <v>23.1913</v>
      </c>
      <c r="C1909" t="n">
        <v>34.4485</v>
      </c>
    </row>
    <row r="1910">
      <c r="A1910" t="inlineStr">
        <is>
          <t>2022-11-08</t>
        </is>
      </c>
      <c r="B1910" t="n">
        <v>23.367</v>
      </c>
      <c r="C1910" t="n">
        <v>34.7105</v>
      </c>
    </row>
    <row r="1911">
      <c r="A1911" t="inlineStr">
        <is>
          <t>2022-11-09</t>
        </is>
      </c>
      <c r="B1911" t="n">
        <v>23.24</v>
      </c>
      <c r="C1911" t="n">
        <v>34.521</v>
      </c>
    </row>
    <row r="1912">
      <c r="A1912" t="inlineStr">
        <is>
          <t>2022-11-10</t>
        </is>
      </c>
      <c r="B1912" t="n">
        <v>23.2071</v>
      </c>
      <c r="C1912" t="n">
        <v>34.472</v>
      </c>
    </row>
    <row r="1913">
      <c r="A1913" t="inlineStr">
        <is>
          <t>2022-11-11</t>
        </is>
      </c>
      <c r="B1913" t="n">
        <v>23.5257</v>
      </c>
      <c r="C1913" t="n">
        <v>34.9459</v>
      </c>
    </row>
    <row r="1914">
      <c r="A1914" t="inlineStr">
        <is>
          <t>2022-11-14</t>
        </is>
      </c>
      <c r="B1914" t="n">
        <v>23.3107</v>
      </c>
      <c r="C1914" t="n">
        <v>34.6263</v>
      </c>
    </row>
    <row r="1915">
      <c r="A1915" t="inlineStr">
        <is>
          <t>2022-11-15</t>
        </is>
      </c>
      <c r="B1915" t="n">
        <v>23.3121</v>
      </c>
      <c r="C1915" t="n">
        <v>34.6284</v>
      </c>
    </row>
    <row r="1916">
      <c r="A1916" t="inlineStr">
        <is>
          <t>2022-11-16</t>
        </is>
      </c>
      <c r="B1916" t="n">
        <v>23.1337</v>
      </c>
      <c r="C1916" t="n">
        <v>34.3635</v>
      </c>
    </row>
    <row r="1917">
      <c r="A1917" t="inlineStr">
        <is>
          <t>2022-11-17</t>
        </is>
      </c>
      <c r="B1917" t="n">
        <v>23.0433</v>
      </c>
      <c r="C1917" t="n">
        <v>34.2288</v>
      </c>
    </row>
    <row r="1918">
      <c r="A1918" t="inlineStr">
        <is>
          <t>2022-11-18</t>
        </is>
      </c>
      <c r="B1918" t="n">
        <v>23.0633</v>
      </c>
      <c r="C1918" t="n">
        <v>34.2586</v>
      </c>
    </row>
    <row r="1919">
      <c r="A1919" t="inlineStr">
        <is>
          <t>2022-11-21</t>
        </is>
      </c>
      <c r="B1919" t="n">
        <v>23.1351</v>
      </c>
      <c r="C1919" t="n">
        <v>34.3652</v>
      </c>
    </row>
    <row r="1920">
      <c r="A1920" t="inlineStr">
        <is>
          <t>2022-11-22</t>
        </is>
      </c>
      <c r="B1920" t="n">
        <v>23.0698</v>
      </c>
      <c r="C1920" t="n">
        <v>34.2682</v>
      </c>
    </row>
    <row r="1921">
      <c r="A1921" t="inlineStr">
        <is>
          <t>2022-11-23</t>
        </is>
      </c>
      <c r="B1921" t="n">
        <v>23.2068</v>
      </c>
      <c r="C1921" t="n">
        <v>34.4714</v>
      </c>
    </row>
    <row r="1922">
      <c r="A1922" t="inlineStr">
        <is>
          <t>2022-11-24</t>
        </is>
      </c>
      <c r="B1922" t="n">
        <v>23.2134</v>
      </c>
      <c r="C1922" t="n">
        <v>34.4811</v>
      </c>
    </row>
    <row r="1923">
      <c r="A1923" t="inlineStr">
        <is>
          <t>2022-11-25</t>
        </is>
      </c>
      <c r="B1923" t="n">
        <v>23.0993</v>
      </c>
      <c r="C1923" t="n">
        <v>34.3118</v>
      </c>
    </row>
    <row r="1924">
      <c r="A1924" t="inlineStr">
        <is>
          <t>2022-11-28</t>
        </is>
      </c>
      <c r="B1924" t="n">
        <v>23.0105</v>
      </c>
      <c r="C1924" t="n">
        <v>34.18</v>
      </c>
    </row>
    <row r="1925">
      <c r="A1925" t="inlineStr">
        <is>
          <t>2022-11-29</t>
        </is>
      </c>
      <c r="B1925" t="n">
        <v>23.1875</v>
      </c>
      <c r="C1925" t="n">
        <v>34.442</v>
      </c>
    </row>
    <row r="1926">
      <c r="A1926" t="inlineStr">
        <is>
          <t>2022-11-30</t>
        </is>
      </c>
      <c r="B1926" t="n">
        <v>23.3478</v>
      </c>
      <c r="C1926" t="n">
        <v>34.6793</v>
      </c>
    </row>
    <row r="1927">
      <c r="A1927" t="inlineStr">
        <is>
          <t>2022-12-01</t>
        </is>
      </c>
      <c r="B1927" t="n">
        <v>23.361</v>
      </c>
      <c r="C1927" t="n">
        <v>34.6988</v>
      </c>
    </row>
    <row r="1928">
      <c r="A1928" t="inlineStr">
        <is>
          <t>2022-12-02</t>
        </is>
      </c>
      <c r="B1928" t="n">
        <v>23.1953</v>
      </c>
      <c r="C1928" t="n">
        <v>34.4531</v>
      </c>
    </row>
    <row r="1929">
      <c r="A1929" t="inlineStr">
        <is>
          <t>2022-12-06</t>
        </is>
      </c>
      <c r="B1929" t="n">
        <v>23.1113</v>
      </c>
      <c r="C1929" t="n">
        <v>34.3281</v>
      </c>
    </row>
    <row r="1930">
      <c r="A1930" t="inlineStr">
        <is>
          <t>2022-12-07</t>
        </is>
      </c>
      <c r="B1930" t="n">
        <v>22.9958</v>
      </c>
      <c r="C1930" t="n">
        <v>34.1564</v>
      </c>
    </row>
    <row r="1931">
      <c r="A1931" t="inlineStr">
        <is>
          <t>2022-12-08</t>
        </is>
      </c>
      <c r="B1931" t="n">
        <v>22.9637</v>
      </c>
      <c r="C1931" t="n">
        <v>34.1085</v>
      </c>
    </row>
    <row r="1932">
      <c r="A1932" t="inlineStr">
        <is>
          <t>2022-12-09</t>
        </is>
      </c>
      <c r="B1932" t="n">
        <v>22.9991</v>
      </c>
      <c r="C1932" t="n">
        <v>34.1615</v>
      </c>
    </row>
    <row r="1933">
      <c r="A1933" t="inlineStr">
        <is>
          <t>2022-12-13</t>
        </is>
      </c>
      <c r="B1933" t="n">
        <v>23.0484</v>
      </c>
      <c r="C1933" t="n">
        <v>34.234</v>
      </c>
    </row>
    <row r="1934">
      <c r="A1934" t="inlineStr">
        <is>
          <t>2022-12-14</t>
        </is>
      </c>
      <c r="B1934" t="n">
        <v>23.1302</v>
      </c>
      <c r="C1934" t="n">
        <v>34.3558</v>
      </c>
    </row>
    <row r="1935">
      <c r="A1935" t="inlineStr">
        <is>
          <t>2022-12-15</t>
        </is>
      </c>
      <c r="B1935" t="n">
        <v>22.9869</v>
      </c>
      <c r="C1935" t="n">
        <v>34.1427</v>
      </c>
    </row>
    <row r="1936">
      <c r="A1936" t="inlineStr">
        <is>
          <t>2022-12-16</t>
        </is>
      </c>
      <c r="B1936" t="n">
        <v>23.0257</v>
      </c>
      <c r="C1936" t="n">
        <v>34.1998</v>
      </c>
    </row>
    <row r="1937">
      <c r="A1937" t="inlineStr">
        <is>
          <t>2022-12-19</t>
        </is>
      </c>
      <c r="B1937" t="n">
        <v>23.0057</v>
      </c>
      <c r="C1937" t="n">
        <v>34.1697</v>
      </c>
    </row>
    <row r="1938">
      <c r="A1938" t="inlineStr">
        <is>
          <t>2022-12-20</t>
        </is>
      </c>
      <c r="B1938" t="n">
        <v>22.871</v>
      </c>
      <c r="C1938" t="n">
        <v>33.9695</v>
      </c>
    </row>
    <row r="1939">
      <c r="A1939" t="inlineStr">
        <is>
          <t>2022-12-21</t>
        </is>
      </c>
      <c r="B1939" t="n">
        <v>22.87</v>
      </c>
      <c r="C1939" t="n">
        <v>33.9681</v>
      </c>
    </row>
    <row r="1940">
      <c r="A1940" t="inlineStr">
        <is>
          <t>2022-12-22</t>
        </is>
      </c>
      <c r="B1940" t="n">
        <v>22.9684</v>
      </c>
      <c r="C1940" t="n">
        <v>34.1139</v>
      </c>
    </row>
    <row r="1941">
      <c r="A1941" t="inlineStr">
        <is>
          <t>2022-12-23</t>
        </is>
      </c>
      <c r="B1941" t="n">
        <v>22.9763</v>
      </c>
      <c r="C1941" t="n">
        <v>34.1256</v>
      </c>
    </row>
    <row r="1942">
      <c r="A1942" t="inlineStr">
        <is>
          <t>2022-12-26</t>
        </is>
      </c>
      <c r="B1942" t="n">
        <v>23.0983</v>
      </c>
      <c r="C1942" t="n">
        <v>34.3069</v>
      </c>
    </row>
    <row r="1943">
      <c r="A1943" t="inlineStr">
        <is>
          <t>2022-12-27</t>
        </is>
      </c>
      <c r="B1943" t="n">
        <v>23.3912</v>
      </c>
      <c r="C1943" t="n">
        <v>34.7418</v>
      </c>
    </row>
    <row r="1944">
      <c r="A1944" t="inlineStr">
        <is>
          <t>2022-12-28</t>
        </is>
      </c>
      <c r="B1944" t="n">
        <v>23.4952</v>
      </c>
      <c r="C1944" t="n">
        <v>34.8961</v>
      </c>
    </row>
    <row r="1945">
      <c r="A1945" t="inlineStr">
        <is>
          <t>2022-12-29</t>
        </is>
      </c>
      <c r="B1945" t="n">
        <v>23.7208</v>
      </c>
      <c r="C1945" t="n">
        <v>35.2294</v>
      </c>
    </row>
    <row r="1946">
      <c r="A1946" t="inlineStr">
        <is>
          <t>2022-12-30</t>
        </is>
      </c>
      <c r="B1946" t="n">
        <v>23.6009</v>
      </c>
      <c r="C1946" t="n">
        <v>35.1163</v>
      </c>
    </row>
    <row r="1947">
      <c r="A1947" t="inlineStr">
        <is>
          <t>2023-01-03</t>
        </is>
      </c>
      <c r="B1947" t="n">
        <v>23.7643</v>
      </c>
      <c r="C1947" t="n">
        <v>35.3397</v>
      </c>
    </row>
    <row r="1948">
      <c r="A1948" t="inlineStr">
        <is>
          <t>2023-01-04</t>
        </is>
      </c>
      <c r="B1948" t="n">
        <v>23.6871</v>
      </c>
      <c r="C1948" t="n">
        <v>35.218</v>
      </c>
    </row>
    <row r="1949">
      <c r="A1949" t="inlineStr">
        <is>
          <t>2023-01-05</t>
        </is>
      </c>
      <c r="B1949" t="n">
        <v>23.5405</v>
      </c>
      <c r="C1949" t="n">
        <v>34.9593</v>
      </c>
    </row>
    <row r="1950">
      <c r="A1950" t="inlineStr">
        <is>
          <t>2023-01-06</t>
        </is>
      </c>
      <c r="B1950" t="n">
        <v>23.662</v>
      </c>
      <c r="C1950" t="n">
        <v>35.1372</v>
      </c>
    </row>
    <row r="1951">
      <c r="A1951" t="inlineStr">
        <is>
          <t>2023-01-09</t>
        </is>
      </c>
      <c r="B1951" t="n">
        <v>23.8964</v>
      </c>
      <c r="C1951" t="n">
        <v>35.4938</v>
      </c>
    </row>
    <row r="1952">
      <c r="A1952" t="inlineStr">
        <is>
          <t>2023-01-10</t>
        </is>
      </c>
      <c r="B1952" t="n">
        <v>23.8822</v>
      </c>
      <c r="C1952" t="n">
        <v>35.472</v>
      </c>
    </row>
    <row r="1953">
      <c r="A1953" t="inlineStr">
        <is>
          <t>2023-01-11</t>
        </is>
      </c>
      <c r="B1953" t="n">
        <v>23.7483</v>
      </c>
      <c r="C1953" t="n">
        <v>35.2838</v>
      </c>
    </row>
    <row r="1954">
      <c r="A1954" t="inlineStr">
        <is>
          <t>2023-01-12</t>
        </is>
      </c>
      <c r="B1954" t="n">
        <v>23.7462</v>
      </c>
      <c r="C1954" t="n">
        <v>35.2897</v>
      </c>
    </row>
    <row r="1955">
      <c r="A1955" t="inlineStr">
        <is>
          <t>2023-01-13</t>
        </is>
      </c>
      <c r="B1955" t="n">
        <v>23.6317</v>
      </c>
      <c r="C1955" t="n">
        <v>35.1053</v>
      </c>
    </row>
    <row r="1956">
      <c r="A1956" t="inlineStr">
        <is>
          <t>2023-01-16</t>
        </is>
      </c>
      <c r="B1956" t="n">
        <v>23.6493</v>
      </c>
      <c r="C1956" t="n">
        <v>35.1369</v>
      </c>
    </row>
    <row r="1957">
      <c r="A1957" t="inlineStr">
        <is>
          <t>2023-01-17</t>
        </is>
      </c>
      <c r="B1957" t="n">
        <v>23.5764</v>
      </c>
      <c r="C1957" t="n">
        <v>35.0285</v>
      </c>
    </row>
    <row r="1958">
      <c r="A1958" t="inlineStr">
        <is>
          <t>2023-01-18</t>
        </is>
      </c>
      <c r="B1958" t="n">
        <v>23.6621</v>
      </c>
      <c r="C1958" t="n">
        <v>35.1623</v>
      </c>
    </row>
    <row r="1959">
      <c r="A1959" t="inlineStr">
        <is>
          <t>2023-01-19</t>
        </is>
      </c>
      <c r="B1959" t="n">
        <v>23.7111</v>
      </c>
      <c r="C1959" t="n">
        <v>35.2345</v>
      </c>
    </row>
    <row r="1960">
      <c r="A1960" t="inlineStr">
        <is>
          <t>2023-01-20</t>
        </is>
      </c>
      <c r="B1960" t="n">
        <v>23.514</v>
      </c>
      <c r="C1960" t="n">
        <v>34.9445</v>
      </c>
    </row>
    <row r="1961">
      <c r="A1961" t="inlineStr">
        <is>
          <t>2023-01-23</t>
        </is>
      </c>
      <c r="B1961" t="n">
        <v>23.6015</v>
      </c>
      <c r="C1961" t="n">
        <v>35.0853</v>
      </c>
    </row>
    <row r="1962">
      <c r="A1962" t="inlineStr">
        <is>
          <t>2023-01-24</t>
        </is>
      </c>
      <c r="B1962" t="n">
        <v>23.5807</v>
      </c>
      <c r="C1962" t="n">
        <v>35.0517</v>
      </c>
    </row>
    <row r="1963">
      <c r="A1963" t="inlineStr">
        <is>
          <t>2023-01-25</t>
        </is>
      </c>
      <c r="B1963" t="n">
        <v>23.5771</v>
      </c>
      <c r="C1963" t="n">
        <v>35.0482</v>
      </c>
    </row>
    <row r="1964">
      <c r="A1964" t="inlineStr">
        <is>
          <t>2023-01-26</t>
        </is>
      </c>
      <c r="B1964" t="n">
        <v>23.4061</v>
      </c>
      <c r="C1964" t="n">
        <v>34.7929</v>
      </c>
    </row>
    <row r="1965">
      <c r="A1965" t="inlineStr">
        <is>
          <t>2023-01-27</t>
        </is>
      </c>
      <c r="B1965" t="n">
        <v>23.5346</v>
      </c>
      <c r="C1965" t="n">
        <v>34.9806</v>
      </c>
    </row>
    <row r="1966">
      <c r="A1966" t="inlineStr">
        <is>
          <t>2023-01-30</t>
        </is>
      </c>
      <c r="B1966" t="n">
        <v>23.5219</v>
      </c>
      <c r="C1966" t="n">
        <v>34.9698</v>
      </c>
    </row>
    <row r="1967">
      <c r="A1967" t="inlineStr">
        <is>
          <t>2023-01-31</t>
        </is>
      </c>
      <c r="B1967" t="n">
        <v>23.2908</v>
      </c>
      <c r="C1967" t="n">
        <v>34.63</v>
      </c>
    </row>
    <row r="1968">
      <c r="A1968" t="inlineStr">
        <is>
          <t>2023-02-01</t>
        </is>
      </c>
      <c r="B1968" t="n">
        <v>23.5125</v>
      </c>
      <c r="C1968" t="n">
        <v>34.9568</v>
      </c>
    </row>
    <row r="1969">
      <c r="A1969" t="inlineStr">
        <is>
          <t>2023-02-02</t>
        </is>
      </c>
      <c r="B1969" t="n">
        <v>23.4311</v>
      </c>
      <c r="C1969" t="n">
        <v>34.8426</v>
      </c>
    </row>
    <row r="1970">
      <c r="A1970" t="inlineStr">
        <is>
          <t>2023-02-03</t>
        </is>
      </c>
      <c r="B1970" t="n">
        <v>23.5441</v>
      </c>
      <c r="C1970" t="n">
        <v>35.0191</v>
      </c>
    </row>
    <row r="1971">
      <c r="A1971" t="inlineStr">
        <is>
          <t>2023-02-06</t>
        </is>
      </c>
      <c r="B1971" t="n">
        <v>23.4112</v>
      </c>
      <c r="C1971" t="n">
        <v>34.8235</v>
      </c>
    </row>
    <row r="1972">
      <c r="A1972" t="inlineStr">
        <is>
          <t>2023-02-07</t>
        </is>
      </c>
      <c r="B1972" t="n">
        <v>23.3976</v>
      </c>
      <c r="C1972" t="n">
        <v>34.8094</v>
      </c>
    </row>
    <row r="1973">
      <c r="A1973" t="inlineStr">
        <is>
          <t>2023-02-08</t>
        </is>
      </c>
      <c r="B1973" t="n">
        <v>23.2669</v>
      </c>
      <c r="C1973" t="n">
        <v>34.6034</v>
      </c>
    </row>
    <row r="1974">
      <c r="A1974" t="inlineStr">
        <is>
          <t>2023-02-09</t>
        </is>
      </c>
      <c r="B1974" t="n">
        <v>23.2498</v>
      </c>
      <c r="C1974" t="n">
        <v>34.5747</v>
      </c>
    </row>
    <row r="1975">
      <c r="A1975" t="inlineStr">
        <is>
          <t>2023-02-10</t>
        </is>
      </c>
      <c r="B1975" t="n">
        <v>23.1989</v>
      </c>
      <c r="C1975" t="n">
        <v>34.4903</v>
      </c>
    </row>
    <row r="1976">
      <c r="A1976" t="inlineStr">
        <is>
          <t>2023-02-13</t>
        </is>
      </c>
      <c r="B1976" t="n">
        <v>23.2458</v>
      </c>
      <c r="C1976" t="n">
        <v>34.561</v>
      </c>
    </row>
    <row r="1977">
      <c r="A1977" t="inlineStr">
        <is>
          <t>2023-02-14</t>
        </is>
      </c>
      <c r="B1977" t="n">
        <v>23.1702</v>
      </c>
      <c r="C1977" t="n">
        <v>34.4424</v>
      </c>
    </row>
    <row r="1978">
      <c r="A1978" t="inlineStr">
        <is>
          <t>2023-02-15</t>
        </is>
      </c>
      <c r="B1978" t="n">
        <v>23.1664</v>
      </c>
      <c r="C1978" t="n">
        <v>34.4454</v>
      </c>
    </row>
    <row r="1979">
      <c r="A1979" t="inlineStr">
        <is>
          <t>2023-02-16</t>
        </is>
      </c>
      <c r="B1979" t="n">
        <v>23.3567</v>
      </c>
      <c r="C1979" t="n">
        <v>34.744</v>
      </c>
    </row>
    <row r="1980">
      <c r="A1980" t="inlineStr">
        <is>
          <t>2023-02-17</t>
        </is>
      </c>
      <c r="B1980" t="n">
        <v>23.2577</v>
      </c>
      <c r="C1980" t="n">
        <v>34.5916</v>
      </c>
    </row>
    <row r="1981">
      <c r="A1981" t="inlineStr">
        <is>
          <t>2023-02-20</t>
        </is>
      </c>
      <c r="B1981" t="n">
        <v>23.2822</v>
      </c>
      <c r="C1981" t="n">
        <v>34.6302</v>
      </c>
    </row>
    <row r="1982">
      <c r="A1982" t="inlineStr">
        <is>
          <t>2023-02-21</t>
        </is>
      </c>
      <c r="B1982" t="n">
        <v>23.4245</v>
      </c>
      <c r="C1982" t="n">
        <v>34.8434</v>
      </c>
    </row>
    <row r="1983">
      <c r="A1983" t="inlineStr">
        <is>
          <t>2023-02-22</t>
        </is>
      </c>
      <c r="B1983" t="n">
        <v>23.2951</v>
      </c>
      <c r="C1983" t="n">
        <v>34.6501</v>
      </c>
    </row>
    <row r="1984">
      <c r="A1984" t="inlineStr">
        <is>
          <t>2023-02-23</t>
        </is>
      </c>
      <c r="B1984" t="n">
        <v>23.1916</v>
      </c>
      <c r="C1984" t="n">
        <v>34.4984</v>
      </c>
    </row>
    <row r="1985">
      <c r="A1985" t="inlineStr">
        <is>
          <t>2023-02-24</t>
        </is>
      </c>
      <c r="B1985" t="n">
        <v>22.9036</v>
      </c>
      <c r="C1985" t="n">
        <v>34.0691</v>
      </c>
    </row>
    <row r="1986">
      <c r="A1986" t="inlineStr">
        <is>
          <t>2023-02-27</t>
        </is>
      </c>
      <c r="B1986" t="n">
        <v>22.8026</v>
      </c>
      <c r="C1986" t="n">
        <v>33.9172</v>
      </c>
    </row>
    <row r="1987">
      <c r="A1987" t="inlineStr">
        <is>
          <t>2023-02-28</t>
        </is>
      </c>
      <c r="B1987" t="n">
        <v>22.7281</v>
      </c>
      <c r="C1987" t="n">
        <v>33.8033</v>
      </c>
    </row>
    <row r="1988">
      <c r="A1988" t="inlineStr">
        <is>
          <t>2023-03-01</t>
        </is>
      </c>
      <c r="B1988" t="n">
        <v>22.7644</v>
      </c>
      <c r="C1988" t="n">
        <v>33.8689</v>
      </c>
    </row>
    <row r="1989">
      <c r="A1989" t="inlineStr">
        <is>
          <t>2023-03-02</t>
        </is>
      </c>
      <c r="B1989" t="n">
        <v>22.7656</v>
      </c>
      <c r="C1989" t="n">
        <v>33.8716</v>
      </c>
    </row>
    <row r="1990">
      <c r="A1990" t="inlineStr">
        <is>
          <t>2023-03-03</t>
        </is>
      </c>
      <c r="B1990" t="n">
        <v>22.6756</v>
      </c>
      <c r="C1990" t="n">
        <v>33.735</v>
      </c>
    </row>
    <row r="1991">
      <c r="A1991" t="inlineStr">
        <is>
          <t>2023-03-07</t>
        </is>
      </c>
      <c r="B1991" t="n">
        <v>22.8163</v>
      </c>
      <c r="C1991" t="n">
        <v>33.9452</v>
      </c>
    </row>
    <row r="1992">
      <c r="A1992" t="inlineStr">
        <is>
          <t>2023-03-08</t>
        </is>
      </c>
      <c r="B1992" t="n">
        <v>22.7176</v>
      </c>
      <c r="C1992" t="n">
        <v>33.7974</v>
      </c>
    </row>
    <row r="1993">
      <c r="A1993" t="inlineStr">
        <is>
          <t>2023-03-09</t>
        </is>
      </c>
      <c r="B1993" t="n">
        <v>22.7311</v>
      </c>
      <c r="C1993" t="n">
        <v>33.8166</v>
      </c>
    </row>
    <row r="1994">
      <c r="A1994" t="inlineStr">
        <is>
          <t>2023-03-10</t>
        </is>
      </c>
      <c r="B1994" t="n">
        <v>22.5437</v>
      </c>
      <c r="C1994" t="n">
        <v>33.5387</v>
      </c>
    </row>
    <row r="1995">
      <c r="A1995" t="inlineStr">
        <is>
          <t>2023-03-13</t>
        </is>
      </c>
      <c r="B1995" t="n">
        <v>22.1984</v>
      </c>
      <c r="C1995" t="n">
        <v>33.0249</v>
      </c>
    </row>
    <row r="1996">
      <c r="A1996" t="inlineStr">
        <is>
          <t>2023-03-14</t>
        </is>
      </c>
      <c r="B1996" t="n">
        <v>21.5333</v>
      </c>
      <c r="C1996" t="n">
        <v>32.0334</v>
      </c>
    </row>
    <row r="1997">
      <c r="A1997" t="inlineStr">
        <is>
          <t>2023-03-15</t>
        </is>
      </c>
      <c r="B1997" t="n">
        <v>22.1683</v>
      </c>
      <c r="C1997" t="n">
        <v>32.9792</v>
      </c>
    </row>
    <row r="1998">
      <c r="A1998" t="inlineStr">
        <is>
          <t>2023-03-16</t>
        </is>
      </c>
      <c r="B1998" t="n">
        <v>22.0479</v>
      </c>
      <c r="C1998" t="n">
        <v>32.7988</v>
      </c>
    </row>
    <row r="1999">
      <c r="A1999" t="inlineStr">
        <is>
          <t>2023-03-17</t>
        </is>
      </c>
      <c r="B1999" t="n">
        <v>22.2263</v>
      </c>
      <c r="C1999" t="n">
        <v>33.0669</v>
      </c>
    </row>
    <row r="2000">
      <c r="A2000" t="inlineStr">
        <is>
          <t>2023-03-20</t>
        </is>
      </c>
      <c r="B2000" t="n">
        <v>22.0758</v>
      </c>
      <c r="C2000" t="n">
        <v>32.8408</v>
      </c>
    </row>
    <row r="2001">
      <c r="A2001" t="inlineStr">
        <is>
          <t>2023-03-21</t>
        </is>
      </c>
      <c r="B2001" t="n">
        <v>22.4391</v>
      </c>
      <c r="C2001" t="n">
        <v>33.3801</v>
      </c>
    </row>
    <row r="2002">
      <c r="A2002" t="inlineStr">
        <is>
          <t>2023-03-22</t>
        </is>
      </c>
      <c r="B2002" t="n">
        <v>22.606</v>
      </c>
      <c r="C2002" t="n">
        <v>33.6292</v>
      </c>
    </row>
    <row r="2003">
      <c r="A2003" t="inlineStr">
        <is>
          <t>2023-03-23</t>
        </is>
      </c>
      <c r="B2003" t="n">
        <v>22.7147</v>
      </c>
      <c r="C2003" t="n">
        <v>33.7888</v>
      </c>
    </row>
    <row r="2004">
      <c r="A2004" t="inlineStr">
        <is>
          <t>2023-03-24</t>
        </is>
      </c>
      <c r="B2004" t="n">
        <v>22.6936</v>
      </c>
      <c r="C2004" t="n">
        <v>33.7578</v>
      </c>
    </row>
    <row r="2005">
      <c r="A2005" t="inlineStr">
        <is>
          <t>2023-03-27</t>
        </is>
      </c>
      <c r="B2005" t="n">
        <v>22.6831</v>
      </c>
      <c r="C2005" t="n">
        <v>33.7418</v>
      </c>
    </row>
    <row r="2006">
      <c r="A2006" t="inlineStr">
        <is>
          <t>2023-03-28</t>
        </is>
      </c>
      <c r="B2006" t="n">
        <v>22.8653</v>
      </c>
      <c r="C2006" t="n">
        <v>34.0108</v>
      </c>
    </row>
    <row r="2007">
      <c r="A2007" t="inlineStr">
        <is>
          <t>2023-03-29</t>
        </is>
      </c>
      <c r="B2007" t="n">
        <v>22.9481</v>
      </c>
      <c r="C2007" t="n">
        <v>34.138</v>
      </c>
    </row>
    <row r="2008">
      <c r="A2008" t="inlineStr">
        <is>
          <t>2023-03-30</t>
        </is>
      </c>
      <c r="B2008" t="n">
        <v>22.8951</v>
      </c>
      <c r="C2008" t="n">
        <v>34.0716</v>
      </c>
    </row>
    <row r="2009">
      <c r="A2009" t="inlineStr">
        <is>
          <t>2023-03-31</t>
        </is>
      </c>
      <c r="B2009" t="n">
        <v>23.0008</v>
      </c>
      <c r="C2009" t="n">
        <v>34.2342</v>
      </c>
    </row>
    <row r="2010">
      <c r="A2010" t="inlineStr">
        <is>
          <t>2023-04-03</t>
        </is>
      </c>
      <c r="B2010" t="n">
        <v>22.7936</v>
      </c>
      <c r="C2010" t="n">
        <v>33.9048</v>
      </c>
    </row>
    <row r="2011">
      <c r="A2011" t="inlineStr">
        <is>
          <t>2023-04-04</t>
        </is>
      </c>
      <c r="B2011" t="n">
        <v>22.7131</v>
      </c>
      <c r="C2011" t="n">
        <v>33.7845</v>
      </c>
    </row>
    <row r="2012">
      <c r="A2012" t="inlineStr">
        <is>
          <t>2023-04-05</t>
        </is>
      </c>
      <c r="B2012" t="n">
        <v>22.3661</v>
      </c>
      <c r="C2012" t="n">
        <v>33.2583</v>
      </c>
    </row>
    <row r="2013">
      <c r="A2013" t="inlineStr">
        <is>
          <t>2023-04-07</t>
        </is>
      </c>
      <c r="B2013" t="n">
        <v>22.4794</v>
      </c>
      <c r="C2013" t="n">
        <v>33.4304</v>
      </c>
    </row>
    <row r="2014">
      <c r="A2014" t="inlineStr">
        <is>
          <t>2023-04-10</t>
        </is>
      </c>
      <c r="B2014" t="n">
        <v>22.7797</v>
      </c>
      <c r="C2014" t="n">
        <v>33.8817</v>
      </c>
    </row>
    <row r="2015">
      <c r="A2015" t="inlineStr">
        <is>
          <t>2023-04-11</t>
        </is>
      </c>
      <c r="B2015" t="n">
        <v>22.8299</v>
      </c>
      <c r="C2015" t="n">
        <v>33.955</v>
      </c>
    </row>
    <row r="2016">
      <c r="A2016" t="inlineStr">
        <is>
          <t>2023-04-12</t>
        </is>
      </c>
      <c r="B2016" t="n">
        <v>22.7522</v>
      </c>
      <c r="C2016" t="n">
        <v>33.8375</v>
      </c>
    </row>
    <row r="2017">
      <c r="A2017" t="inlineStr">
        <is>
          <t>2023-04-17</t>
        </is>
      </c>
      <c r="B2017" t="n">
        <v>22.8947</v>
      </c>
      <c r="C2017" t="n">
        <v>34.0513</v>
      </c>
    </row>
    <row r="2018">
      <c r="A2018" t="inlineStr">
        <is>
          <t>2023-04-18</t>
        </is>
      </c>
      <c r="B2018" t="n">
        <v>22.797</v>
      </c>
      <c r="C2018" t="n">
        <v>33.9061</v>
      </c>
    </row>
    <row r="2019">
      <c r="A2019" t="inlineStr">
        <is>
          <t>2023-04-19</t>
        </is>
      </c>
      <c r="B2019" t="n">
        <v>22.6334</v>
      </c>
      <c r="C2019" t="n">
        <v>33.6648</v>
      </c>
    </row>
    <row r="2020">
      <c r="A2020" t="inlineStr">
        <is>
          <t>2023-04-20</t>
        </is>
      </c>
      <c r="B2020" t="n">
        <v>22.3934</v>
      </c>
      <c r="C2020" t="n">
        <v>33.3073</v>
      </c>
    </row>
    <row r="2021">
      <c r="A2021" t="inlineStr">
        <is>
          <t>2023-04-21</t>
        </is>
      </c>
      <c r="B2021" t="n">
        <v>22.3014</v>
      </c>
      <c r="C2021" t="n">
        <v>33.164</v>
      </c>
    </row>
    <row r="2022">
      <c r="A2022" t="inlineStr">
        <is>
          <t>2023-04-24</t>
        </is>
      </c>
      <c r="B2022" t="n">
        <v>22.3198</v>
      </c>
      <c r="C2022" t="n">
        <v>33.1927</v>
      </c>
    </row>
    <row r="2023">
      <c r="A2023" t="inlineStr">
        <is>
          <t>2023-04-25</t>
        </is>
      </c>
      <c r="B2023" t="n">
        <v>22.1395</v>
      </c>
      <c r="C2023" t="n">
        <v>32.9225</v>
      </c>
    </row>
    <row r="2024">
      <c r="A2024" t="inlineStr">
        <is>
          <t>2023-04-26</t>
        </is>
      </c>
      <c r="B2024" t="n">
        <v>22.2077</v>
      </c>
      <c r="C2024" t="n">
        <v>33.0235</v>
      </c>
    </row>
    <row r="2025">
      <c r="A2025" t="inlineStr">
        <is>
          <t>2023-04-27</t>
        </is>
      </c>
      <c r="B2025" t="n">
        <v>22.0015</v>
      </c>
      <c r="C2025" t="n">
        <v>32.6987</v>
      </c>
    </row>
    <row r="2026">
      <c r="A2026" t="inlineStr">
        <is>
          <t>2023-04-28</t>
        </is>
      </c>
      <c r="B2026" t="n">
        <v>21.9503</v>
      </c>
      <c r="C2026" t="n">
        <v>32.6194</v>
      </c>
    </row>
    <row r="2027">
      <c r="A2027" t="inlineStr">
        <is>
          <t>2023-05-02</t>
        </is>
      </c>
      <c r="B2027" t="n">
        <v>22.0629</v>
      </c>
      <c r="C2027" t="n">
        <v>32.791</v>
      </c>
    </row>
    <row r="2028">
      <c r="A2028" t="inlineStr">
        <is>
          <t>2023-05-03</t>
        </is>
      </c>
      <c r="B2028" t="n">
        <v>22.1269</v>
      </c>
      <c r="C2028" t="n">
        <v>32.8858</v>
      </c>
    </row>
    <row r="2029">
      <c r="A2029" t="inlineStr">
        <is>
          <t>2023-05-08</t>
        </is>
      </c>
      <c r="B2029" t="n">
        <v>22.6161</v>
      </c>
      <c r="C2029" t="n">
        <v>33.6136</v>
      </c>
    </row>
    <row r="2030">
      <c r="A2030" t="inlineStr">
        <is>
          <t>2023-05-09</t>
        </is>
      </c>
      <c r="B2030" t="n">
        <v>22.6075</v>
      </c>
      <c r="C2030" t="n">
        <v>33.5993</v>
      </c>
    </row>
    <row r="2031">
      <c r="A2031" t="inlineStr">
        <is>
          <t>2023-05-10</t>
        </is>
      </c>
      <c r="B2031" t="n">
        <v>22.6646</v>
      </c>
      <c r="C2031" t="n">
        <v>33.6837</v>
      </c>
    </row>
    <row r="2032">
      <c r="A2032" t="inlineStr">
        <is>
          <t>2023-05-11</t>
        </is>
      </c>
      <c r="B2032" t="n">
        <v>22.6386</v>
      </c>
      <c r="C2032" t="n">
        <v>33.6435</v>
      </c>
    </row>
    <row r="2033">
      <c r="A2033" t="inlineStr">
        <is>
          <t>2023-05-12</t>
        </is>
      </c>
      <c r="B2033" t="n">
        <v>22.5707</v>
      </c>
      <c r="C2033" t="n">
        <v>33.5428</v>
      </c>
    </row>
    <row r="2034">
      <c r="A2034" t="inlineStr">
        <is>
          <t>2023-05-15</t>
        </is>
      </c>
      <c r="B2034" t="n">
        <v>22.2855</v>
      </c>
      <c r="C2034" t="n">
        <v>33.125</v>
      </c>
    </row>
    <row r="2035">
      <c r="A2035" t="inlineStr">
        <is>
          <t>2023-05-16</t>
        </is>
      </c>
      <c r="B2035" t="n">
        <v>21.6794</v>
      </c>
      <c r="C2035" t="n">
        <v>33.0706</v>
      </c>
    </row>
    <row r="2036">
      <c r="A2036" t="inlineStr">
        <is>
          <t>2023-05-17</t>
        </is>
      </c>
      <c r="B2036" t="n">
        <v>21.4092</v>
      </c>
      <c r="C2036" t="n">
        <v>32.6695</v>
      </c>
    </row>
    <row r="2037">
      <c r="A2037" t="inlineStr">
        <is>
          <t>2023-05-18</t>
        </is>
      </c>
      <c r="B2037" t="n">
        <v>21.4722</v>
      </c>
      <c r="C2037" t="n">
        <v>32.7728</v>
      </c>
    </row>
    <row r="2038">
      <c r="A2038" t="inlineStr">
        <is>
          <t>2023-05-19</t>
        </is>
      </c>
      <c r="B2038" t="n">
        <v>21.3205</v>
      </c>
      <c r="C2038" t="n">
        <v>32.5446</v>
      </c>
    </row>
    <row r="2039">
      <c r="A2039" t="inlineStr">
        <is>
          <t>2023-05-22</t>
        </is>
      </c>
      <c r="B2039" t="n">
        <v>21.5518</v>
      </c>
      <c r="C2039" t="n">
        <v>32.8992</v>
      </c>
    </row>
    <row r="2040">
      <c r="A2040" t="inlineStr">
        <is>
          <t>2023-05-23</t>
        </is>
      </c>
      <c r="B2040" t="n">
        <v>21.5519</v>
      </c>
      <c r="C2040" t="n">
        <v>32.8939</v>
      </c>
    </row>
    <row r="2041">
      <c r="A2041" t="inlineStr">
        <is>
          <t>2023-05-24</t>
        </is>
      </c>
      <c r="B2041" t="n">
        <v>21.5465</v>
      </c>
      <c r="C2041" t="n">
        <v>32.8851</v>
      </c>
    </row>
    <row r="2042">
      <c r="A2042" t="inlineStr">
        <is>
          <t>2023-05-25</t>
        </is>
      </c>
      <c r="B2042" t="n">
        <v>21.5328</v>
      </c>
      <c r="C2042" t="n">
        <v>32.872</v>
      </c>
    </row>
    <row r="2043">
      <c r="A2043" t="inlineStr">
        <is>
          <t>2023-05-26</t>
        </is>
      </c>
      <c r="B2043" t="n">
        <v>21.44</v>
      </c>
      <c r="C2043" t="n">
        <v>32.7285</v>
      </c>
    </row>
    <row r="2044">
      <c r="A2044" t="inlineStr">
        <is>
          <t>2023-05-29</t>
        </is>
      </c>
      <c r="B2044" t="n">
        <v>21.5987</v>
      </c>
      <c r="C2044" t="n">
        <v>32.9747</v>
      </c>
    </row>
    <row r="2045">
      <c r="A2045" t="inlineStr">
        <is>
          <t>2023-05-30</t>
        </is>
      </c>
      <c r="B2045" t="n">
        <v>21.4859</v>
      </c>
      <c r="C2045" t="n">
        <v>32.8036</v>
      </c>
    </row>
    <row r="2046">
      <c r="A2046" t="inlineStr">
        <is>
          <t>2023-05-31</t>
        </is>
      </c>
      <c r="B2046" t="n">
        <v>21.4319</v>
      </c>
      <c r="C2046" t="n">
        <v>32.7233</v>
      </c>
    </row>
    <row r="2047">
      <c r="A2047" t="inlineStr">
        <is>
          <t>2023-06-01</t>
        </is>
      </c>
      <c r="B2047" t="n">
        <v>21.2618</v>
      </c>
      <c r="C2047" t="n">
        <v>32.4631</v>
      </c>
    </row>
    <row r="2048">
      <c r="A2048" t="inlineStr">
        <is>
          <t>2023-06-02</t>
        </is>
      </c>
      <c r="B2048" t="n">
        <v>21.4364</v>
      </c>
      <c r="C2048" t="n">
        <v>32.7306</v>
      </c>
    </row>
    <row r="2049">
      <c r="A2049" t="inlineStr">
        <is>
          <t>2023-06-06</t>
        </is>
      </c>
      <c r="B2049" t="n">
        <v>21.4009</v>
      </c>
      <c r="C2049" t="n">
        <v>32.6808</v>
      </c>
    </row>
    <row r="2050">
      <c r="A2050" t="inlineStr">
        <is>
          <t>2023-06-07</t>
        </is>
      </c>
      <c r="B2050" t="n">
        <v>21.4804</v>
      </c>
      <c r="C2050" t="n">
        <v>32.8018</v>
      </c>
    </row>
    <row r="2051">
      <c r="A2051" t="inlineStr">
        <is>
          <t>2023-06-08</t>
        </is>
      </c>
      <c r="B2051" t="n">
        <v>21.9162</v>
      </c>
      <c r="C2051" t="n">
        <v>33.4683</v>
      </c>
    </row>
    <row r="2052">
      <c r="A2052" t="inlineStr">
        <is>
          <t>2023-06-09</t>
        </is>
      </c>
      <c r="B2052" t="n">
        <v>21.818</v>
      </c>
      <c r="C2052" t="n">
        <v>33.314</v>
      </c>
    </row>
    <row r="2053">
      <c r="A2053" t="inlineStr">
        <is>
          <t>2023-06-12</t>
        </is>
      </c>
      <c r="B2053" t="n">
        <v>21.7752</v>
      </c>
      <c r="C2053" t="n">
        <v>33.2495</v>
      </c>
    </row>
    <row r="2054">
      <c r="A2054" t="inlineStr">
        <is>
          <t>2023-06-13</t>
        </is>
      </c>
      <c r="B2054" t="n">
        <v>21.9462</v>
      </c>
      <c r="C2054" t="n">
        <v>33.5119</v>
      </c>
    </row>
    <row r="2055">
      <c r="A2055" t="inlineStr">
        <is>
          <t>2023-06-14</t>
        </is>
      </c>
      <c r="B2055" t="n">
        <v>21.9177</v>
      </c>
      <c r="C2055" t="n">
        <v>33.4687</v>
      </c>
    </row>
    <row r="2056">
      <c r="A2056" t="inlineStr">
        <is>
          <t>2023-06-15</t>
        </is>
      </c>
      <c r="B2056" t="n">
        <v>21.9491</v>
      </c>
      <c r="C2056" t="n">
        <v>33.5225</v>
      </c>
    </row>
    <row r="2057">
      <c r="A2057" t="inlineStr">
        <is>
          <t>2023-06-16</t>
        </is>
      </c>
      <c r="B2057" t="n">
        <v>21.9762</v>
      </c>
      <c r="C2057" t="n">
        <v>33.5642</v>
      </c>
    </row>
    <row r="2058">
      <c r="A2058" t="inlineStr">
        <is>
          <t>2023-06-19</t>
        </is>
      </c>
      <c r="B2058" t="n">
        <v>21.9931</v>
      </c>
      <c r="C2058" t="n">
        <v>33.593</v>
      </c>
    </row>
    <row r="2059">
      <c r="A2059" t="inlineStr">
        <is>
          <t>2023-06-20</t>
        </is>
      </c>
      <c r="B2059" t="n">
        <v>21.6535</v>
      </c>
      <c r="C2059" t="n">
        <v>33.0616</v>
      </c>
    </row>
    <row r="2060">
      <c r="A2060" t="inlineStr">
        <is>
          <t>2023-06-21</t>
        </is>
      </c>
      <c r="B2060" t="n">
        <v>21.4528</v>
      </c>
      <c r="C2060" t="n">
        <v>32.7556</v>
      </c>
    </row>
    <row r="2061">
      <c r="A2061" t="inlineStr">
        <is>
          <t>2023-06-22</t>
        </is>
      </c>
      <c r="B2061" t="n">
        <v>21.2832</v>
      </c>
      <c r="C2061" t="n">
        <v>32.5004</v>
      </c>
    </row>
    <row r="2062">
      <c r="A2062" t="inlineStr">
        <is>
          <t>2023-06-23</t>
        </is>
      </c>
      <c r="B2062" t="n">
        <v>21.2555</v>
      </c>
      <c r="C2062" t="n">
        <v>32.461</v>
      </c>
    </row>
    <row r="2063">
      <c r="A2063" t="inlineStr">
        <is>
          <t>2023-06-26</t>
        </is>
      </c>
      <c r="B2063" t="n">
        <v>21.045</v>
      </c>
      <c r="C2063" t="n">
        <v>32.1327</v>
      </c>
    </row>
    <row r="2064">
      <c r="A2064" t="inlineStr">
        <is>
          <t>2023-06-27</t>
        </is>
      </c>
      <c r="B2064" t="n">
        <v>20.9154</v>
      </c>
      <c r="C2064" t="n">
        <v>31.9364</v>
      </c>
    </row>
    <row r="2065">
      <c r="A2065" t="inlineStr">
        <is>
          <t>2023-06-28</t>
        </is>
      </c>
      <c r="B2065" t="n">
        <v>20.7727</v>
      </c>
      <c r="C2065" t="n">
        <v>31.7137</v>
      </c>
    </row>
    <row r="2066">
      <c r="A2066" t="inlineStr">
        <is>
          <t>2023-06-29</t>
        </is>
      </c>
      <c r="B2066" t="n">
        <v>20.9157</v>
      </c>
      <c r="C2066" t="n">
        <v>31.9324</v>
      </c>
    </row>
    <row r="2067">
      <c r="A2067" t="inlineStr">
        <is>
          <t>2023-06-30</t>
        </is>
      </c>
      <c r="B2067" t="n">
        <v>21.2961</v>
      </c>
      <c r="C2067" t="n">
        <v>32.5075</v>
      </c>
    </row>
    <row r="2068">
      <c r="A2068" t="inlineStr">
        <is>
          <t>2023-07-03</t>
        </is>
      </c>
      <c r="B2068" t="n">
        <v>21.3647</v>
      </c>
      <c r="C2068" t="n">
        <v>32.6155</v>
      </c>
    </row>
    <row r="2069">
      <c r="A2069" t="inlineStr">
        <is>
          <t>2023-07-04</t>
        </is>
      </c>
      <c r="B2069" t="n">
        <v>21.5</v>
      </c>
      <c r="C2069" t="n">
        <v>32.8201</v>
      </c>
    </row>
    <row r="2070">
      <c r="A2070" t="inlineStr">
        <is>
          <t>2023-07-05</t>
        </is>
      </c>
      <c r="B2070" t="n">
        <v>21.4552</v>
      </c>
      <c r="C2070" t="n">
        <v>32.7568</v>
      </c>
    </row>
    <row r="2071">
      <c r="A2071" t="inlineStr">
        <is>
          <t>2023-07-06</t>
        </is>
      </c>
      <c r="B2071" t="n">
        <v>21.185</v>
      </c>
      <c r="C2071" t="n">
        <v>32.3417</v>
      </c>
    </row>
    <row r="2072">
      <c r="A2072" t="inlineStr">
        <is>
          <t>2023-07-07</t>
        </is>
      </c>
      <c r="B2072" t="n">
        <v>21.177</v>
      </c>
      <c r="C2072" t="n">
        <v>32.3368</v>
      </c>
    </row>
    <row r="2073">
      <c r="A2073" t="inlineStr">
        <is>
          <t>2023-07-10</t>
        </is>
      </c>
      <c r="B2073" t="n">
        <v>21.2978</v>
      </c>
      <c r="C2073" t="n">
        <v>32.5263</v>
      </c>
    </row>
    <row r="2074">
      <c r="A2074" t="inlineStr">
        <is>
          <t>2023-07-11</t>
        </is>
      </c>
      <c r="B2074" t="n">
        <v>21.3321</v>
      </c>
      <c r="C2074" t="n">
        <v>32.5789</v>
      </c>
    </row>
    <row r="2075">
      <c r="A2075" t="inlineStr">
        <is>
          <t>2023-07-12</t>
        </is>
      </c>
      <c r="B2075" t="n">
        <v>21.3188</v>
      </c>
      <c r="C2075" t="n">
        <v>32.555</v>
      </c>
    </row>
    <row r="2076">
      <c r="A2076" t="inlineStr">
        <is>
          <t>2023-07-13</t>
        </is>
      </c>
      <c r="B2076" t="n">
        <v>21.339</v>
      </c>
      <c r="C2076" t="n">
        <v>32.5959</v>
      </c>
    </row>
    <row r="2077">
      <c r="A2077" t="inlineStr">
        <is>
          <t>2023-07-14</t>
        </is>
      </c>
      <c r="B2077" t="n">
        <v>21.7046</v>
      </c>
      <c r="C2077" t="n">
        <v>33.157</v>
      </c>
    </row>
    <row r="2078">
      <c r="A2078" t="inlineStr">
        <is>
          <t>2023-07-17</t>
        </is>
      </c>
      <c r="B2078" t="n">
        <v>21.814</v>
      </c>
      <c r="C2078" t="n">
        <v>33.3205</v>
      </c>
    </row>
    <row r="2079">
      <c r="A2079" t="inlineStr">
        <is>
          <t>2023-07-18</t>
        </is>
      </c>
      <c r="B2079" t="n">
        <v>21.9532</v>
      </c>
      <c r="C2079" t="n">
        <v>33.5401</v>
      </c>
    </row>
    <row r="2080">
      <c r="A2080" t="inlineStr">
        <is>
          <t>2023-07-19</t>
        </is>
      </c>
      <c r="B2080" t="n">
        <v>21.9367</v>
      </c>
      <c r="C2080" t="n">
        <v>33.5127</v>
      </c>
    </row>
    <row r="2081">
      <c r="A2081" t="inlineStr">
        <is>
          <t>2023-07-20</t>
        </is>
      </c>
      <c r="B2081" t="n">
        <v>21.7217</v>
      </c>
      <c r="C2081" t="n">
        <v>33.186</v>
      </c>
    </row>
    <row r="2082">
      <c r="A2082" t="inlineStr">
        <is>
          <t>2023-07-21</t>
        </is>
      </c>
      <c r="B2082" t="n">
        <v>21.8712</v>
      </c>
      <c r="C2082" t="n">
        <v>33.414</v>
      </c>
    </row>
    <row r="2083">
      <c r="A2083" t="inlineStr">
        <is>
          <t>2023-07-24</t>
        </is>
      </c>
      <c r="B2083" t="n">
        <v>21.8358</v>
      </c>
      <c r="C2083" t="n">
        <v>33.3699</v>
      </c>
    </row>
    <row r="2084">
      <c r="A2084" t="inlineStr">
        <is>
          <t>2023-07-25</t>
        </is>
      </c>
      <c r="B2084" t="n">
        <v>21.8814</v>
      </c>
      <c r="C2084" t="n">
        <v>33.4428</v>
      </c>
    </row>
    <row r="2085">
      <c r="A2085" t="inlineStr">
        <is>
          <t>2023-07-26</t>
        </is>
      </c>
      <c r="B2085" t="n">
        <v>21.871</v>
      </c>
      <c r="C2085" t="n">
        <v>33.4227</v>
      </c>
    </row>
    <row r="2086">
      <c r="A2086" t="inlineStr">
        <is>
          <t>2023-07-27</t>
        </is>
      </c>
      <c r="B2086" t="n">
        <v>22.1482</v>
      </c>
      <c r="C2086" t="n">
        <v>33.8449</v>
      </c>
    </row>
    <row r="2087">
      <c r="A2087" t="inlineStr">
        <is>
          <t>2023-07-31</t>
        </is>
      </c>
      <c r="B2087" t="n">
        <v>22.3399</v>
      </c>
      <c r="C2087" t="n">
        <v>34.1447</v>
      </c>
    </row>
    <row r="2088">
      <c r="A2088" t="inlineStr">
        <is>
          <t>2023-08-02</t>
        </is>
      </c>
      <c r="B2088" t="n">
        <v>22.2629</v>
      </c>
      <c r="C2088" t="n">
        <v>34.0319</v>
      </c>
    </row>
    <row r="2089">
      <c r="A2089" t="inlineStr">
        <is>
          <t>2023-08-03</t>
        </is>
      </c>
      <c r="B2089" t="n">
        <v>21.9101</v>
      </c>
      <c r="C2089" t="n">
        <v>33.4935</v>
      </c>
    </row>
    <row r="2090">
      <c r="A2090" t="inlineStr">
        <is>
          <t>2023-08-04</t>
        </is>
      </c>
      <c r="B2090" t="n">
        <v>21.9309</v>
      </c>
      <c r="C2090" t="n">
        <v>33.527</v>
      </c>
    </row>
    <row r="2091">
      <c r="A2091" t="inlineStr">
        <is>
          <t>2023-08-07</t>
        </is>
      </c>
      <c r="B2091" t="n">
        <v>22.01</v>
      </c>
      <c r="C2091" t="n">
        <v>33.6493</v>
      </c>
    </row>
    <row r="2092">
      <c r="A2092" t="inlineStr">
        <is>
          <t>2023-08-08</t>
        </is>
      </c>
      <c r="B2092" t="n">
        <v>21.7805</v>
      </c>
      <c r="C2092" t="n">
        <v>33.302</v>
      </c>
    </row>
    <row r="2093">
      <c r="A2093" t="inlineStr">
        <is>
          <t>2023-08-09</t>
        </is>
      </c>
      <c r="B2093" t="n">
        <v>21.9301</v>
      </c>
      <c r="C2093" t="n">
        <v>33.5177</v>
      </c>
    </row>
    <row r="2094">
      <c r="A2094" t="inlineStr">
        <is>
          <t>2023-08-10</t>
        </is>
      </c>
      <c r="B2094" t="n">
        <v>22.0032</v>
      </c>
      <c r="C2094" t="n">
        <v>33.6248</v>
      </c>
    </row>
    <row r="2095">
      <c r="A2095" t="inlineStr">
        <is>
          <t>2023-08-11</t>
        </is>
      </c>
      <c r="B2095" t="n">
        <v>22.007</v>
      </c>
      <c r="C2095" t="n">
        <v>33.6283</v>
      </c>
    </row>
    <row r="2096">
      <c r="A2096" t="inlineStr">
        <is>
          <t>2023-08-15</t>
        </is>
      </c>
      <c r="B2096" t="n">
        <v>21.7731</v>
      </c>
      <c r="C2096" t="n">
        <v>33.2671</v>
      </c>
    </row>
    <row r="2097">
      <c r="A2097" t="inlineStr">
        <is>
          <t>2023-08-16</t>
        </is>
      </c>
      <c r="B2097" t="n">
        <v>21.7525</v>
      </c>
      <c r="C2097" t="n">
        <v>33.235</v>
      </c>
    </row>
    <row r="2098">
      <c r="A2098" t="inlineStr">
        <is>
          <t>2023-08-17</t>
        </is>
      </c>
      <c r="B2098" t="n">
        <v>21.8756</v>
      </c>
      <c r="C2098" t="n">
        <v>33.4243</v>
      </c>
    </row>
    <row r="2099">
      <c r="A2099" t="inlineStr">
        <is>
          <t>2023-08-18</t>
        </is>
      </c>
      <c r="B2099" t="n">
        <v>21.7272</v>
      </c>
      <c r="C2099" t="n">
        <v>33.1871</v>
      </c>
    </row>
    <row r="2100">
      <c r="A2100" t="inlineStr">
        <is>
          <t>2023-08-21</t>
        </is>
      </c>
      <c r="B2100" t="n">
        <v>21.8489</v>
      </c>
      <c r="C2100" t="n">
        <v>33.3753</v>
      </c>
    </row>
    <row r="2101">
      <c r="A2101" t="inlineStr">
        <is>
          <t>2023-08-22</t>
        </is>
      </c>
      <c r="B2101" t="n">
        <v>22.1357</v>
      </c>
      <c r="C2101" t="n">
        <v>33.8169</v>
      </c>
    </row>
    <row r="2102">
      <c r="A2102" t="inlineStr">
        <is>
          <t>2023-08-23</t>
        </is>
      </c>
      <c r="B2102" t="n">
        <v>22.1547</v>
      </c>
      <c r="C2102" t="n">
        <v>33.837</v>
      </c>
    </row>
    <row r="2103">
      <c r="A2103" t="inlineStr">
        <is>
          <t>2023-08-24</t>
        </is>
      </c>
      <c r="B2103" t="n">
        <v>22.2812</v>
      </c>
      <c r="C2103" t="n">
        <v>34.0445</v>
      </c>
    </row>
    <row r="2104">
      <c r="A2104" t="inlineStr">
        <is>
          <t>2023-08-25</t>
        </is>
      </c>
      <c r="B2104" t="n">
        <v>22.2854</v>
      </c>
      <c r="C2104" t="n">
        <v>34.0484</v>
      </c>
    </row>
    <row r="2105">
      <c r="A2105" t="inlineStr">
        <is>
          <t>2023-08-28</t>
        </is>
      </c>
      <c r="B2105" t="n">
        <v>22.2939</v>
      </c>
      <c r="C2105" t="n">
        <v>34.0614</v>
      </c>
    </row>
    <row r="2106">
      <c r="A2106" t="inlineStr">
        <is>
          <t>2023-08-29</t>
        </is>
      </c>
      <c r="B2106" t="n">
        <v>22.3539</v>
      </c>
      <c r="C2106" t="n">
        <v>34.1559</v>
      </c>
    </row>
    <row r="2107">
      <c r="A2107" t="inlineStr">
        <is>
          <t>2023-08-30</t>
        </is>
      </c>
      <c r="B2107" t="n">
        <v>22.4268</v>
      </c>
      <c r="C2107" t="n">
        <v>34.2689</v>
      </c>
    </row>
    <row r="2108">
      <c r="A2108" t="inlineStr">
        <is>
          <t>2023-08-31</t>
        </is>
      </c>
      <c r="B2108" t="n">
        <v>22.2112</v>
      </c>
      <c r="C2108" t="n">
        <v>33.9382</v>
      </c>
    </row>
    <row r="2109">
      <c r="A2109" t="inlineStr">
        <is>
          <t>2023-09-01</t>
        </is>
      </c>
      <c r="B2109" t="n">
        <v>22.2077</v>
      </c>
      <c r="C2109" t="n">
        <v>33.9349</v>
      </c>
    </row>
    <row r="2110">
      <c r="A2110" t="inlineStr">
        <is>
          <t>2023-09-04</t>
        </is>
      </c>
      <c r="B2110" t="n">
        <v>22.0089</v>
      </c>
      <c r="C2110" t="n">
        <v>33.6331</v>
      </c>
    </row>
    <row r="2111">
      <c r="A2111" t="inlineStr">
        <is>
          <t>2023-09-05</t>
        </is>
      </c>
      <c r="B2111" t="n">
        <v>21.9762</v>
      </c>
      <c r="C2111" t="n">
        <v>33.5837</v>
      </c>
    </row>
    <row r="2112">
      <c r="A2112" t="inlineStr">
        <is>
          <t>2023-09-06</t>
        </is>
      </c>
      <c r="B2112" t="n">
        <v>22.0311</v>
      </c>
      <c r="C2112" t="n">
        <v>33.6666</v>
      </c>
    </row>
    <row r="2113">
      <c r="A2113" t="inlineStr">
        <is>
          <t>2023-09-07</t>
        </is>
      </c>
      <c r="B2113" t="n">
        <v>22.0381</v>
      </c>
      <c r="C2113" t="n">
        <v>33.6753</v>
      </c>
    </row>
    <row r="2114">
      <c r="A2114" t="inlineStr">
        <is>
          <t>2023-09-08</t>
        </is>
      </c>
      <c r="B2114" t="n">
        <v>21.9707</v>
      </c>
      <c r="C2114" t="n">
        <v>33.571</v>
      </c>
    </row>
    <row r="2115">
      <c r="A2115" t="inlineStr">
        <is>
          <t>2023-09-11</t>
        </is>
      </c>
      <c r="B2115" t="n">
        <v>21.8766</v>
      </c>
      <c r="C2115" t="n">
        <v>33.4246</v>
      </c>
    </row>
    <row r="2116">
      <c r="A2116" t="inlineStr">
        <is>
          <t>2023-09-12</t>
        </is>
      </c>
      <c r="B2116" t="n">
        <v>21.9732</v>
      </c>
      <c r="C2116" t="n">
        <v>33.5819</v>
      </c>
    </row>
    <row r="2117">
      <c r="A2117" t="inlineStr">
        <is>
          <t>2023-09-13</t>
        </is>
      </c>
      <c r="B2117" t="n">
        <v>21.8905</v>
      </c>
      <c r="C2117" t="n">
        <v>33.4513</v>
      </c>
    </row>
    <row r="2118">
      <c r="A2118" t="inlineStr">
        <is>
          <t>2023-09-14</t>
        </is>
      </c>
      <c r="B2118" t="n">
        <v>22.0316</v>
      </c>
      <c r="C2118" t="n">
        <v>33.6705</v>
      </c>
    </row>
    <row r="2119">
      <c r="A2119" t="inlineStr">
        <is>
          <t>2023-09-15</t>
        </is>
      </c>
      <c r="B2119" t="n">
        <v>22.0003</v>
      </c>
      <c r="C2119" t="n">
        <v>33.6232</v>
      </c>
    </row>
    <row r="2120">
      <c r="A2120" t="inlineStr">
        <is>
          <t>2023-09-18</t>
        </is>
      </c>
      <c r="B2120" t="n">
        <v>21.7962</v>
      </c>
      <c r="C2120" t="n">
        <v>33.3091</v>
      </c>
    </row>
    <row r="2121">
      <c r="A2121" t="inlineStr">
        <is>
          <t>2023-09-19</t>
        </is>
      </c>
      <c r="B2121" t="n">
        <v>21.7108</v>
      </c>
      <c r="C2121" t="n">
        <v>33.1803</v>
      </c>
    </row>
    <row r="2122">
      <c r="A2122" t="inlineStr">
        <is>
          <t>2023-09-20</t>
        </is>
      </c>
      <c r="B2122" t="n">
        <v>21.4949</v>
      </c>
      <c r="C2122" t="n">
        <v>32.849</v>
      </c>
    </row>
    <row r="2123">
      <c r="A2123" t="inlineStr">
        <is>
          <t>2023-09-21</t>
        </is>
      </c>
      <c r="B2123" t="n">
        <v>21.5754</v>
      </c>
      <c r="C2123" t="n">
        <v>32.9673</v>
      </c>
    </row>
    <row r="2124">
      <c r="A2124" t="inlineStr">
        <is>
          <t>2023-09-22</t>
        </is>
      </c>
      <c r="B2124" t="n">
        <v>21.7128</v>
      </c>
      <c r="C2124" t="n">
        <v>33.1844</v>
      </c>
    </row>
    <row r="2125">
      <c r="A2125" t="inlineStr">
        <is>
          <t>2023-09-25</t>
        </is>
      </c>
      <c r="B2125" t="n">
        <v>21.4775</v>
      </c>
      <c r="C2125" t="n">
        <v>32.8228</v>
      </c>
    </row>
    <row r="2126">
      <c r="A2126" t="inlineStr">
        <is>
          <t>2023-09-26</t>
        </is>
      </c>
      <c r="B2126" t="n">
        <v>21.3356</v>
      </c>
      <c r="C2126" t="n">
        <v>32.6068</v>
      </c>
    </row>
    <row r="2127">
      <c r="A2127" t="inlineStr">
        <is>
          <t>2023-09-27</t>
        </is>
      </c>
      <c r="B2127" t="n">
        <v>21.3923</v>
      </c>
      <c r="C2127" t="n">
        <v>32.6895</v>
      </c>
    </row>
    <row r="2128">
      <c r="A2128" t="inlineStr">
        <is>
          <t>2023-09-28</t>
        </is>
      </c>
      <c r="B2128" t="n">
        <v>21.1625</v>
      </c>
      <c r="C2128" t="n">
        <v>32.3408</v>
      </c>
    </row>
    <row r="2129">
      <c r="A2129" t="inlineStr">
        <is>
          <t>2023-09-29</t>
        </is>
      </c>
      <c r="B2129" t="n">
        <v>20.9419</v>
      </c>
      <c r="C2129" t="n">
        <v>31.9658</v>
      </c>
    </row>
    <row r="2130">
      <c r="A2130" t="inlineStr">
        <is>
          <t>2023-10-02</t>
        </is>
      </c>
      <c r="B2130" t="n">
        <v>20.9798</v>
      </c>
      <c r="C2130" t="n">
        <v>32.0273</v>
      </c>
    </row>
    <row r="2131">
      <c r="A2131" t="inlineStr">
        <is>
          <t>2023-10-03</t>
        </is>
      </c>
      <c r="B2131" t="n">
        <v>20.6269</v>
      </c>
      <c r="C2131" t="n">
        <v>31.482</v>
      </c>
    </row>
    <row r="2132">
      <c r="A2132" t="inlineStr">
        <is>
          <t>2023-10-04</t>
        </is>
      </c>
      <c r="B2132" t="n">
        <v>20.6803</v>
      </c>
      <c r="C2132" t="n">
        <v>31.5639</v>
      </c>
    </row>
    <row r="2133">
      <c r="A2133" t="inlineStr">
        <is>
          <t>2023-10-05</t>
        </is>
      </c>
      <c r="B2133" t="n">
        <v>20.7173</v>
      </c>
      <c r="C2133" t="n">
        <v>31.6202</v>
      </c>
    </row>
    <row r="2134">
      <c r="A2134" t="inlineStr">
        <is>
          <t>2023-10-06</t>
        </is>
      </c>
      <c r="B2134" t="n">
        <v>20.4667</v>
      </c>
      <c r="C2134" t="n">
        <v>31.2315</v>
      </c>
    </row>
    <row r="2135">
      <c r="A2135" t="inlineStr">
        <is>
          <t>2023-10-09</t>
        </is>
      </c>
      <c r="B2135" t="n">
        <v>20.4159</v>
      </c>
      <c r="C2135" t="n">
        <v>31.1548</v>
      </c>
    </row>
    <row r="2136">
      <c r="A2136" t="inlineStr">
        <is>
          <t>2023-10-10</t>
        </is>
      </c>
      <c r="B2136" t="n">
        <v>20.4922</v>
      </c>
      <c r="C2136" t="n">
        <v>31.2792</v>
      </c>
    </row>
    <row r="2137">
      <c r="A2137" t="inlineStr">
        <is>
          <t>2023-10-11</t>
        </is>
      </c>
      <c r="B2137" t="n">
        <v>20.8497</v>
      </c>
      <c r="C2137" t="n">
        <v>31.8287</v>
      </c>
    </row>
    <row r="2138">
      <c r="A2138" t="inlineStr">
        <is>
          <t>2023-10-12</t>
        </is>
      </c>
      <c r="B2138" t="n">
        <v>20.7745</v>
      </c>
      <c r="C2138" t="n">
        <v>31.7115</v>
      </c>
    </row>
    <row r="2139">
      <c r="A2139" t="inlineStr">
        <is>
          <t>2023-10-16</t>
        </is>
      </c>
      <c r="B2139" t="n">
        <v>20.456</v>
      </c>
      <c r="C2139" t="n">
        <v>31.2275</v>
      </c>
    </row>
    <row r="2140">
      <c r="A2140" t="inlineStr">
        <is>
          <t>2023-10-17</t>
        </is>
      </c>
      <c r="B2140" t="n">
        <v>20.558</v>
      </c>
      <c r="C2140" t="n">
        <v>31.3804</v>
      </c>
    </row>
    <row r="2141">
      <c r="A2141" t="inlineStr">
        <is>
          <t>2023-10-18</t>
        </is>
      </c>
      <c r="B2141" t="n">
        <v>20.7266</v>
      </c>
      <c r="C2141" t="n">
        <v>31.6394</v>
      </c>
    </row>
    <row r="2142">
      <c r="A2142" t="inlineStr">
        <is>
          <t>2023-10-19</t>
        </is>
      </c>
      <c r="B2142" t="n">
        <v>20.4864</v>
      </c>
      <c r="C2142" t="n">
        <v>31.273</v>
      </c>
    </row>
    <row r="2143">
      <c r="A2143" t="inlineStr">
        <is>
          <t>2023-10-20</t>
        </is>
      </c>
      <c r="B2143" t="n">
        <v>20.1618</v>
      </c>
      <c r="C2143" t="n">
        <v>30.7757</v>
      </c>
    </row>
    <row r="2144">
      <c r="A2144" t="inlineStr">
        <is>
          <t>2023-10-24</t>
        </is>
      </c>
      <c r="B2144" t="n">
        <v>20.0234</v>
      </c>
      <c r="C2144" t="n">
        <v>30.563</v>
      </c>
    </row>
    <row r="2145">
      <c r="A2145" t="inlineStr">
        <is>
          <t>2023-10-25</t>
        </is>
      </c>
      <c r="B2145" t="n">
        <v>20.1865</v>
      </c>
      <c r="C2145" t="n">
        <v>30.8127</v>
      </c>
    </row>
    <row r="2146">
      <c r="A2146" t="inlineStr">
        <is>
          <t>2023-10-26</t>
        </is>
      </c>
      <c r="B2146" t="n">
        <v>19.7748</v>
      </c>
      <c r="C2146" t="n">
        <v>30.1706</v>
      </c>
    </row>
    <row r="2147">
      <c r="A2147" t="inlineStr">
        <is>
          <t>2023-10-27</t>
        </is>
      </c>
      <c r="B2147" t="n">
        <v>20.0562</v>
      </c>
      <c r="C2147" t="n">
        <v>30.6082</v>
      </c>
    </row>
    <row r="2148">
      <c r="A2148" t="inlineStr">
        <is>
          <t>2023-10-30</t>
        </is>
      </c>
      <c r="B2148" t="n">
        <v>20.2014</v>
      </c>
      <c r="C2148" t="n">
        <v>30.8371</v>
      </c>
    </row>
    <row r="2149">
      <c r="A2149" t="inlineStr">
        <is>
          <t>2023-10-31</t>
        </is>
      </c>
      <c r="B2149" t="n">
        <v>19.9876</v>
      </c>
      <c r="C2149" t="n">
        <v>30.5086</v>
      </c>
    </row>
    <row r="2150">
      <c r="A2150" t="inlineStr">
        <is>
          <t>2023-11-01</t>
        </is>
      </c>
      <c r="B2150" t="n">
        <v>19.9533</v>
      </c>
      <c r="C2150" t="n">
        <v>30.4558</v>
      </c>
    </row>
    <row r="2151">
      <c r="A2151" t="inlineStr">
        <is>
          <t>2023-11-02</t>
        </is>
      </c>
      <c r="B2151" t="n">
        <v>20.2809</v>
      </c>
      <c r="C2151" t="n">
        <v>30.9565</v>
      </c>
    </row>
    <row r="2152">
      <c r="A2152" t="inlineStr">
        <is>
          <t>2023-11-03</t>
        </is>
      </c>
      <c r="B2152" t="n">
        <v>20.5015</v>
      </c>
      <c r="C2152" t="n">
        <v>31.294</v>
      </c>
    </row>
    <row r="2153">
      <c r="A2153" t="inlineStr">
        <is>
          <t>2023-11-06</t>
        </is>
      </c>
      <c r="B2153" t="n">
        <v>20.4441</v>
      </c>
      <c r="C2153" t="n">
        <v>31.2076</v>
      </c>
    </row>
    <row r="2154">
      <c r="A2154" t="inlineStr">
        <is>
          <t>2023-11-07</t>
        </is>
      </c>
      <c r="B2154" t="n">
        <v>20.3327</v>
      </c>
      <c r="C2154" t="n">
        <v>31.037</v>
      </c>
    </row>
    <row r="2155">
      <c r="A2155" t="inlineStr">
        <is>
          <t>2023-11-08</t>
        </is>
      </c>
      <c r="B2155" t="n">
        <v>20.3531</v>
      </c>
      <c r="C2155" t="n">
        <v>31.0664</v>
      </c>
    </row>
    <row r="2156">
      <c r="A2156" t="inlineStr">
        <is>
          <t>2023-11-09</t>
        </is>
      </c>
      <c r="B2156" t="n">
        <v>20.3016</v>
      </c>
      <c r="C2156" t="n">
        <v>30.9896</v>
      </c>
    </row>
    <row r="2157">
      <c r="A2157" t="inlineStr">
        <is>
          <t>2023-11-10</t>
        </is>
      </c>
      <c r="B2157" t="n">
        <v>20.0816</v>
      </c>
      <c r="C2157" t="n">
        <v>30.6435</v>
      </c>
    </row>
    <row r="2158">
      <c r="A2158" t="inlineStr">
        <is>
          <t>2023-11-13</t>
        </is>
      </c>
      <c r="B2158" t="n">
        <v>20.1</v>
      </c>
      <c r="C2158" t="n">
        <v>30.6741</v>
      </c>
    </row>
    <row r="2159">
      <c r="A2159" t="inlineStr">
        <is>
          <t>2023-11-14</t>
        </is>
      </c>
      <c r="B2159" t="n">
        <v>20.0833</v>
      </c>
      <c r="C2159" t="n">
        <v>30.6496</v>
      </c>
    </row>
    <row r="2160">
      <c r="A2160" t="inlineStr">
        <is>
          <t>2023-11-15</t>
        </is>
      </c>
      <c r="B2160" t="n">
        <v>20.4958</v>
      </c>
      <c r="C2160" t="n">
        <v>31.2919</v>
      </c>
    </row>
    <row r="2161">
      <c r="A2161" t="inlineStr">
        <is>
          <t>2023-11-16</t>
        </is>
      </c>
      <c r="B2161" t="n">
        <v>20.4993</v>
      </c>
      <c r="C2161" t="n">
        <v>31.2961</v>
      </c>
    </row>
    <row r="2162">
      <c r="A2162" t="inlineStr">
        <is>
          <t>2023-11-17</t>
        </is>
      </c>
      <c r="B2162" t="n">
        <v>20.4509</v>
      </c>
      <c r="C2162" t="n">
        <v>31.216</v>
      </c>
    </row>
    <row r="2163">
      <c r="A2163" t="inlineStr">
        <is>
          <t>2023-11-20</t>
        </is>
      </c>
      <c r="B2163" t="n">
        <v>20.5069</v>
      </c>
      <c r="C2163" t="n">
        <v>31.3026</v>
      </c>
    </row>
    <row r="2164">
      <c r="A2164" t="inlineStr">
        <is>
          <t>2023-11-21</t>
        </is>
      </c>
      <c r="B2164" t="n">
        <v>20.5551</v>
      </c>
      <c r="C2164" t="n">
        <v>31.381</v>
      </c>
    </row>
    <row r="2165">
      <c r="A2165" t="inlineStr">
        <is>
          <t>2023-11-22</t>
        </is>
      </c>
      <c r="B2165" t="n">
        <v>20.3969</v>
      </c>
      <c r="C2165" t="n">
        <v>31.1393</v>
      </c>
    </row>
    <row r="2166">
      <c r="A2166" t="inlineStr">
        <is>
          <t>2023-11-23</t>
        </is>
      </c>
      <c r="B2166" t="n">
        <v>20.2318</v>
      </c>
      <c r="C2166" t="n">
        <v>30.8923</v>
      </c>
    </row>
    <row r="2167">
      <c r="A2167" t="inlineStr">
        <is>
          <t>2023-11-24</t>
        </is>
      </c>
      <c r="B2167" t="n">
        <v>20.1207</v>
      </c>
      <c r="C2167" t="n">
        <v>30.7214</v>
      </c>
    </row>
    <row r="2168">
      <c r="A2168" t="inlineStr">
        <is>
          <t>2023-11-27</t>
        </is>
      </c>
      <c r="B2168" t="n">
        <v>20.0697</v>
      </c>
      <c r="C2168" t="n">
        <v>30.6462</v>
      </c>
    </row>
    <row r="2169">
      <c r="A2169" t="inlineStr">
        <is>
          <t>2023-11-28</t>
        </is>
      </c>
      <c r="B2169" t="n">
        <v>20.1983</v>
      </c>
      <c r="C2169" t="n">
        <v>30.8447</v>
      </c>
    </row>
    <row r="2170">
      <c r="A2170" t="inlineStr">
        <is>
          <t>2023-11-29</t>
        </is>
      </c>
      <c r="B2170" t="n">
        <v>20.0033</v>
      </c>
      <c r="C2170" t="n">
        <v>30.5482</v>
      </c>
    </row>
    <row r="2171">
      <c r="A2171" t="inlineStr">
        <is>
          <t>2023-11-30</t>
        </is>
      </c>
      <c r="B2171" t="n">
        <v>19.888</v>
      </c>
      <c r="C2171" t="n">
        <v>30.3721</v>
      </c>
    </row>
    <row r="2172">
      <c r="A2172" t="inlineStr">
        <is>
          <t>2023-12-01</t>
        </is>
      </c>
      <c r="B2172" t="n">
        <v>19.8877</v>
      </c>
      <c r="C2172" t="n">
        <v>30.3711</v>
      </c>
    </row>
    <row r="2173">
      <c r="A2173" t="inlineStr">
        <is>
          <t>2023-12-04</t>
        </is>
      </c>
      <c r="B2173" t="n">
        <v>19.9519</v>
      </c>
      <c r="C2173" t="n">
        <v>30.4671</v>
      </c>
    </row>
    <row r="2174">
      <c r="A2174" t="inlineStr">
        <is>
          <t>2023-12-06</t>
        </is>
      </c>
      <c r="B2174" t="n">
        <v>19.9909</v>
      </c>
      <c r="C2174" t="n">
        <v>30.5279</v>
      </c>
    </row>
    <row r="2175">
      <c r="A2175" t="inlineStr">
        <is>
          <t>2023-12-07</t>
        </is>
      </c>
      <c r="B2175" t="n">
        <v>19.8201</v>
      </c>
      <c r="C2175" t="n">
        <v>30.264</v>
      </c>
    </row>
    <row r="2176">
      <c r="A2176" t="inlineStr">
        <is>
          <t>2023-12-08</t>
        </is>
      </c>
      <c r="B2176" t="n">
        <v>19.8879</v>
      </c>
      <c r="C2176" t="n">
        <v>30.3722</v>
      </c>
    </row>
    <row r="2177">
      <c r="A2177" t="inlineStr">
        <is>
          <t>2023-12-12</t>
        </is>
      </c>
      <c r="B2177" t="n">
        <v>19.8351</v>
      </c>
      <c r="C2177" t="n">
        <v>30.2939</v>
      </c>
    </row>
    <row r="2178">
      <c r="A2178" t="inlineStr">
        <is>
          <t>2023-12-13</t>
        </is>
      </c>
      <c r="B2178" t="n">
        <v>19.6194</v>
      </c>
      <c r="C2178" t="n">
        <v>29.9622</v>
      </c>
    </row>
    <row r="2179">
      <c r="A2179" t="inlineStr">
        <is>
          <t>2023-12-14</t>
        </is>
      </c>
      <c r="B2179" t="n">
        <v>19.9322</v>
      </c>
      <c r="C2179" t="n">
        <v>30.4438</v>
      </c>
    </row>
    <row r="2180">
      <c r="A2180" t="inlineStr">
        <is>
          <t>2023-12-15</t>
        </is>
      </c>
      <c r="B2180" t="n">
        <v>20.1398</v>
      </c>
      <c r="C2180" t="n">
        <v>30.7559</v>
      </c>
    </row>
    <row r="2181">
      <c r="A2181" t="inlineStr">
        <is>
          <t>2023-12-18</t>
        </is>
      </c>
      <c r="B2181" t="n">
        <v>20.1708</v>
      </c>
      <c r="C2181" t="n">
        <v>30.807</v>
      </c>
    </row>
    <row r="2182">
      <c r="A2182" t="inlineStr">
        <is>
          <t>2023-12-19</t>
        </is>
      </c>
      <c r="B2182" t="n">
        <v>20.2089</v>
      </c>
      <c r="C2182" t="n">
        <v>30.8713</v>
      </c>
    </row>
    <row r="2183">
      <c r="A2183" t="inlineStr">
        <is>
          <t>2023-12-20</t>
        </is>
      </c>
      <c r="B2183" t="n">
        <v>20.2615</v>
      </c>
      <c r="C2183" t="n">
        <v>30.9515</v>
      </c>
    </row>
    <row r="2184">
      <c r="A2184" t="inlineStr">
        <is>
          <t>2023-12-21</t>
        </is>
      </c>
      <c r="B2184" t="n">
        <v>20.2975</v>
      </c>
      <c r="C2184" t="n">
        <v>31.0065</v>
      </c>
    </row>
    <row r="2185">
      <c r="A2185" t="inlineStr">
        <is>
          <t>2023-12-22</t>
        </is>
      </c>
      <c r="B2185" t="n">
        <v>20.3119</v>
      </c>
      <c r="C2185" t="n">
        <v>31.029</v>
      </c>
    </row>
    <row r="2186">
      <c r="A2186" t="inlineStr">
        <is>
          <t>2023-12-25</t>
        </is>
      </c>
      <c r="B2186" t="n">
        <v>20.3794</v>
      </c>
      <c r="C2186" t="n">
        <v>31.1332</v>
      </c>
    </row>
    <row r="2187">
      <c r="A2187" t="inlineStr">
        <is>
          <t>2023-12-26</t>
        </is>
      </c>
      <c r="B2187" t="n">
        <v>20.4453</v>
      </c>
      <c r="C2187" t="n">
        <v>31.232</v>
      </c>
    </row>
    <row r="2188">
      <c r="A2188" t="inlineStr">
        <is>
          <t>2023-12-27</t>
        </is>
      </c>
      <c r="B2188" t="n">
        <v>20.366</v>
      </c>
      <c r="C2188" t="n">
        <v>31.1088</v>
      </c>
    </row>
    <row r="2189">
      <c r="A2189" t="inlineStr">
        <is>
          <t>2023-12-28</t>
        </is>
      </c>
      <c r="B2189" t="n">
        <v>20.4005</v>
      </c>
      <c r="C2189" t="n">
        <v>31.1594</v>
      </c>
    </row>
    <row r="2190">
      <c r="A2190" t="inlineStr">
        <is>
          <t>2024-01-02</t>
        </is>
      </c>
      <c r="B2190" t="n">
        <v>20.6135</v>
      </c>
      <c r="C2190" t="n">
        <v>31.4955</v>
      </c>
    </row>
    <row r="2191">
      <c r="A2191" t="inlineStr">
        <is>
          <t>2024-01-03</t>
        </is>
      </c>
      <c r="B2191" t="n">
        <v>20.5158</v>
      </c>
      <c r="C2191" t="n">
        <v>31.3452</v>
      </c>
    </row>
    <row r="2192">
      <c r="A2192" t="inlineStr">
        <is>
          <t>2024-01-04</t>
        </is>
      </c>
      <c r="B2192" t="n">
        <v>20.5369</v>
      </c>
      <c r="C2192" t="n">
        <v>31.3745</v>
      </c>
    </row>
    <row r="2193">
      <c r="A2193" t="inlineStr">
        <is>
          <t>2024-01-05</t>
        </is>
      </c>
      <c r="B2193" t="n">
        <v>20.3831</v>
      </c>
      <c r="C2193" t="n">
        <v>31.1392</v>
      </c>
    </row>
    <row r="2194">
      <c r="A2194" t="inlineStr">
        <is>
          <t>2024-01-08</t>
        </is>
      </c>
      <c r="B2194" t="n">
        <v>20.2431</v>
      </c>
      <c r="C2194" t="n">
        <v>30.9254</v>
      </c>
    </row>
    <row r="2195">
      <c r="A2195" t="inlineStr">
        <is>
          <t>2024-01-09</t>
        </is>
      </c>
      <c r="B2195" t="n">
        <v>20.2211</v>
      </c>
      <c r="C2195" t="n">
        <v>30.8932</v>
      </c>
    </row>
    <row r="2196">
      <c r="A2196" t="inlineStr">
        <is>
          <t>2024-01-10</t>
        </is>
      </c>
      <c r="B2196" t="n">
        <v>20.199</v>
      </c>
      <c r="C2196" t="n">
        <v>30.8592</v>
      </c>
    </row>
    <row r="2197">
      <c r="A2197" t="inlineStr">
        <is>
          <t>2024-01-11</t>
        </is>
      </c>
      <c r="B2197" t="n">
        <v>20.1268</v>
      </c>
      <c r="C2197" t="n">
        <v>30.7482</v>
      </c>
    </row>
    <row r="2198">
      <c r="A2198" t="inlineStr">
        <is>
          <t>2024-01-12</t>
        </is>
      </c>
      <c r="B2198" t="n">
        <v>20.1668</v>
      </c>
      <c r="C2198" t="n">
        <v>30.8091</v>
      </c>
    </row>
    <row r="2199">
      <c r="A2199" t="inlineStr">
        <is>
          <t>2024-01-15</t>
        </is>
      </c>
      <c r="B2199" t="n">
        <v>20.0509</v>
      </c>
      <c r="C2199" t="n">
        <v>30.6311</v>
      </c>
    </row>
    <row r="2200">
      <c r="A2200" t="inlineStr">
        <is>
          <t>2024-01-16</t>
        </is>
      </c>
      <c r="B2200" t="n">
        <v>19.9678</v>
      </c>
      <c r="C2200" t="n">
        <v>30.5043</v>
      </c>
    </row>
    <row r="2201">
      <c r="A2201" t="inlineStr">
        <is>
          <t>2024-01-17</t>
        </is>
      </c>
      <c r="B2201" t="n">
        <v>19.6556</v>
      </c>
      <c r="C2201" t="n">
        <v>30.0263</v>
      </c>
    </row>
    <row r="2202">
      <c r="A2202" t="inlineStr">
        <is>
          <t>2024-01-18</t>
        </is>
      </c>
      <c r="B2202" t="n">
        <v>19.5901</v>
      </c>
      <c r="C2202" t="n">
        <v>29.928</v>
      </c>
    </row>
    <row r="2203">
      <c r="A2203" t="inlineStr">
        <is>
          <t>2024-01-19</t>
        </is>
      </c>
      <c r="B2203" t="n">
        <v>19.6957</v>
      </c>
      <c r="C2203" t="n">
        <v>30.0894</v>
      </c>
    </row>
    <row r="2204">
      <c r="A2204" t="inlineStr">
        <is>
          <t>2024-01-22</t>
        </is>
      </c>
      <c r="B2204" t="n">
        <v>19.4928</v>
      </c>
      <c r="C2204" t="n">
        <v>29.7801</v>
      </c>
    </row>
    <row r="2205">
      <c r="A2205" t="inlineStr">
        <is>
          <t>2024-01-23</t>
        </is>
      </c>
      <c r="B2205" t="n">
        <v>19.3487</v>
      </c>
      <c r="C2205" t="n">
        <v>29.5613</v>
      </c>
    </row>
    <row r="2206">
      <c r="A2206" t="inlineStr">
        <is>
          <t>2024-01-24</t>
        </is>
      </c>
      <c r="B2206" t="n">
        <v>19.7116</v>
      </c>
      <c r="C2206" t="n">
        <v>30.1143</v>
      </c>
    </row>
    <row r="2207">
      <c r="A2207" t="inlineStr">
        <is>
          <t>2024-01-25</t>
        </is>
      </c>
      <c r="B2207" t="n">
        <v>19.6224</v>
      </c>
      <c r="C2207" t="n">
        <v>29.9769</v>
      </c>
    </row>
    <row r="2208">
      <c r="A2208" t="inlineStr">
        <is>
          <t>2024-01-26</t>
        </is>
      </c>
      <c r="B2208" t="n">
        <v>19.4954</v>
      </c>
      <c r="C2208" t="n">
        <v>29.7843</v>
      </c>
    </row>
    <row r="2209">
      <c r="A2209" t="inlineStr">
        <is>
          <t>2024-01-29</t>
        </is>
      </c>
      <c r="B2209" t="n">
        <v>19.6007</v>
      </c>
      <c r="C2209" t="n">
        <v>29.9399</v>
      </c>
    </row>
    <row r="2210">
      <c r="A2210" t="inlineStr">
        <is>
          <t>2024-01-30</t>
        </is>
      </c>
      <c r="B2210" t="n">
        <v>19.5353</v>
      </c>
      <c r="C2210" t="n">
        <v>29.84</v>
      </c>
    </row>
    <row r="2211">
      <c r="A2211" t="inlineStr">
        <is>
          <t>2024-01-31</t>
        </is>
      </c>
      <c r="B2211" t="n">
        <v>19.4323</v>
      </c>
      <c r="C2211" t="n">
        <v>29.6813</v>
      </c>
    </row>
    <row r="2212">
      <c r="A2212" t="inlineStr">
        <is>
          <t>2024-02-01</t>
        </is>
      </c>
      <c r="B2212" t="n">
        <v>19.4811</v>
      </c>
      <c r="C2212" t="n">
        <v>29.7563</v>
      </c>
    </row>
    <row r="2213">
      <c r="A2213" t="inlineStr">
        <is>
          <t>2024-02-02</t>
        </is>
      </c>
      <c r="B2213" t="n">
        <v>19.7399</v>
      </c>
      <c r="C2213" t="n">
        <v>30.1506</v>
      </c>
    </row>
    <row r="2214">
      <c r="A2214" t="inlineStr">
        <is>
          <t>2024-02-05</t>
        </is>
      </c>
      <c r="B2214" t="n">
        <v>19.7214</v>
      </c>
      <c r="C2214" t="n">
        <v>30.1213</v>
      </c>
    </row>
    <row r="2215">
      <c r="A2215" t="inlineStr">
        <is>
          <t>2024-02-06</t>
        </is>
      </c>
      <c r="B2215" t="n">
        <v>19.9258</v>
      </c>
      <c r="C2215" t="n">
        <v>30.4334</v>
      </c>
    </row>
    <row r="2216">
      <c r="A2216" t="inlineStr">
        <is>
          <t>2024-02-07</t>
        </is>
      </c>
      <c r="B2216" t="n">
        <v>19.9733</v>
      </c>
      <c r="C2216" t="n">
        <v>30.5057</v>
      </c>
    </row>
    <row r="2217">
      <c r="A2217" t="inlineStr">
        <is>
          <t>2024-02-08</t>
        </is>
      </c>
      <c r="B2217" t="n">
        <v>19.7917</v>
      </c>
      <c r="C2217" t="n">
        <v>30.2289</v>
      </c>
    </row>
    <row r="2218">
      <c r="A2218" t="inlineStr">
        <is>
          <t>2024-02-09</t>
        </is>
      </c>
      <c r="B2218" t="n">
        <v>19.7674</v>
      </c>
      <c r="C2218" t="n">
        <v>30.1918</v>
      </c>
    </row>
    <row r="2219">
      <c r="A2219" t="inlineStr">
        <is>
          <t>2024-02-12</t>
        </is>
      </c>
      <c r="B2219" t="n">
        <v>19.7877</v>
      </c>
      <c r="C2219" t="n">
        <v>30.2232</v>
      </c>
    </row>
    <row r="2220">
      <c r="A2220" t="inlineStr">
        <is>
          <t>2024-02-13</t>
        </is>
      </c>
      <c r="B2220" t="n">
        <v>19.8188</v>
      </c>
      <c r="C2220" t="n">
        <v>30.2731</v>
      </c>
    </row>
    <row r="2221">
      <c r="A2221" t="inlineStr">
        <is>
          <t>2024-02-14</t>
        </is>
      </c>
      <c r="B2221" t="n">
        <v>19.671</v>
      </c>
      <c r="C2221" t="n">
        <v>30.0449</v>
      </c>
    </row>
    <row r="2222">
      <c r="A2222" t="inlineStr">
        <is>
          <t>2024-02-15</t>
        </is>
      </c>
      <c r="B2222" t="n">
        <v>19.6864</v>
      </c>
      <c r="C2222" t="n">
        <v>30.0682</v>
      </c>
    </row>
    <row r="2223">
      <c r="A2223" t="inlineStr">
        <is>
          <t>2024-02-16</t>
        </is>
      </c>
      <c r="B2223" t="n">
        <v>19.705</v>
      </c>
      <c r="C2223" t="n">
        <v>30.0957</v>
      </c>
    </row>
    <row r="2224">
      <c r="A2224" t="inlineStr">
        <is>
          <t>2024-02-19</t>
        </is>
      </c>
      <c r="B2224" t="n">
        <v>19.7687</v>
      </c>
      <c r="C2224" t="n">
        <v>30.1933</v>
      </c>
    </row>
    <row r="2225">
      <c r="A2225" t="inlineStr">
        <is>
          <t>2024-02-20</t>
        </is>
      </c>
      <c r="B2225" t="n">
        <v>19.6991</v>
      </c>
      <c r="C2225" t="n">
        <v>30.083</v>
      </c>
    </row>
    <row r="2226">
      <c r="A2226" t="inlineStr">
        <is>
          <t>2024-02-21</t>
        </is>
      </c>
      <c r="B2226" t="n">
        <v>19.9136</v>
      </c>
      <c r="C2226" t="n">
        <v>30.4113</v>
      </c>
    </row>
    <row r="2227">
      <c r="A2227" t="inlineStr">
        <is>
          <t>2024-02-22</t>
        </is>
      </c>
      <c r="B2227" t="n">
        <v>20.0411</v>
      </c>
      <c r="C2227" t="n">
        <v>30.6059</v>
      </c>
    </row>
    <row r="2228">
      <c r="A2228" t="inlineStr">
        <is>
          <t>2024-02-23</t>
        </is>
      </c>
      <c r="B2228" t="n">
        <v>20.0004</v>
      </c>
      <c r="C2228" t="n">
        <v>30.5424</v>
      </c>
    </row>
    <row r="2229">
      <c r="A2229" t="inlineStr">
        <is>
          <t>2024-02-27</t>
        </is>
      </c>
      <c r="B2229" t="n">
        <v>19.8904</v>
      </c>
      <c r="C2229" t="n">
        <v>30.3712</v>
      </c>
    </row>
    <row r="2230">
      <c r="A2230" t="inlineStr">
        <is>
          <t>2024-02-28</t>
        </is>
      </c>
      <c r="B2230" t="n">
        <v>19.7192</v>
      </c>
      <c r="C2230" t="n">
        <v>30.1098</v>
      </c>
    </row>
    <row r="2231">
      <c r="A2231" t="inlineStr">
        <is>
          <t>2024-02-29</t>
        </is>
      </c>
      <c r="B2231" t="n">
        <v>19.6475</v>
      </c>
      <c r="C2231" t="n">
        <v>30.0022</v>
      </c>
    </row>
    <row r="2232">
      <c r="A2232" t="inlineStr">
        <is>
          <t>2024-03-01</t>
        </is>
      </c>
      <c r="B2232" t="n">
        <v>19.5977</v>
      </c>
      <c r="C2232" t="n">
        <v>29.9219</v>
      </c>
    </row>
    <row r="2233">
      <c r="A2233" t="inlineStr">
        <is>
          <t>2024-03-04</t>
        </is>
      </c>
      <c r="B2233" t="n">
        <v>19.5415</v>
      </c>
      <c r="C2233" t="n">
        <v>29.8399</v>
      </c>
    </row>
    <row r="2234">
      <c r="A2234" t="inlineStr">
        <is>
          <t>2024-03-05</t>
        </is>
      </c>
      <c r="B2234" t="n">
        <v>19.4914</v>
      </c>
      <c r="C2234" t="n">
        <v>29.7621</v>
      </c>
    </row>
    <row r="2235">
      <c r="A2235" t="inlineStr">
        <is>
          <t>2024-03-06</t>
        </is>
      </c>
      <c r="B2235" t="n">
        <v>19.6828</v>
      </c>
      <c r="C2235" t="n">
        <v>30.0547</v>
      </c>
    </row>
    <row r="2236">
      <c r="A2236" t="inlineStr">
        <is>
          <t>2024-03-07</t>
        </is>
      </c>
      <c r="B2236" t="n">
        <v>19.7222</v>
      </c>
      <c r="C2236" t="n">
        <v>30.1132</v>
      </c>
    </row>
    <row r="2237">
      <c r="A2237" t="inlineStr">
        <is>
          <t>2024-03-08</t>
        </is>
      </c>
      <c r="B2237" t="n">
        <v>19.9471</v>
      </c>
      <c r="C2237" t="n">
        <v>30.4566</v>
      </c>
    </row>
    <row r="2238">
      <c r="A2238" t="inlineStr">
        <is>
          <t>2024-03-11</t>
        </is>
      </c>
      <c r="B2238" t="n">
        <v>19.823</v>
      </c>
      <c r="C2238" t="n">
        <v>30.269</v>
      </c>
    </row>
    <row r="2239">
      <c r="A2239" t="inlineStr">
        <is>
          <t>2024-03-12</t>
        </is>
      </c>
      <c r="B2239" t="n">
        <v>19.8392</v>
      </c>
      <c r="C2239" t="n">
        <v>30.2966</v>
      </c>
    </row>
    <row r="2240">
      <c r="A2240" t="inlineStr">
        <is>
          <t>2024-03-13</t>
        </is>
      </c>
      <c r="B2240" t="n">
        <v>19.9244</v>
      </c>
      <c r="C2240" t="n">
        <v>30.4271</v>
      </c>
    </row>
    <row r="2241">
      <c r="A2241" t="inlineStr">
        <is>
          <t>2024-03-14</t>
        </is>
      </c>
      <c r="B2241" t="n">
        <v>20.1158</v>
      </c>
      <c r="C2241" t="n">
        <v>30.7166</v>
      </c>
    </row>
    <row r="2242">
      <c r="A2242" t="inlineStr">
        <is>
          <t>2024-03-15</t>
        </is>
      </c>
      <c r="B2242" t="n">
        <v>19.9514</v>
      </c>
      <c r="C2242" t="n">
        <v>30.4646</v>
      </c>
    </row>
    <row r="2243">
      <c r="A2243" t="inlineStr">
        <is>
          <t>2024-03-18</t>
        </is>
      </c>
      <c r="B2243" t="n">
        <v>19.9863</v>
      </c>
      <c r="C2243" t="n">
        <v>30.5195</v>
      </c>
    </row>
    <row r="2244">
      <c r="A2244" t="inlineStr">
        <is>
          <t>2024-03-19</t>
        </is>
      </c>
      <c r="B2244" t="n">
        <v>19.9218</v>
      </c>
      <c r="C2244" t="n">
        <v>30.4221</v>
      </c>
    </row>
    <row r="2245">
      <c r="A2245" t="inlineStr">
        <is>
          <t>2024-03-20</t>
        </is>
      </c>
      <c r="B2245" t="n">
        <v>19.8078</v>
      </c>
      <c r="C2245" t="n">
        <v>30.2464</v>
      </c>
    </row>
    <row r="2246">
      <c r="A2246" t="inlineStr">
        <is>
          <t>2024-03-21</t>
        </is>
      </c>
      <c r="B2246" t="n">
        <v>20.0326</v>
      </c>
      <c r="C2246" t="n">
        <v>30.5923</v>
      </c>
    </row>
    <row r="2247">
      <c r="A2247" t="inlineStr">
        <is>
          <t>2024-03-22</t>
        </is>
      </c>
      <c r="B2247" t="n">
        <v>19.9619</v>
      </c>
      <c r="C2247" t="n">
        <v>30.485</v>
      </c>
    </row>
    <row r="2248">
      <c r="A2248" t="inlineStr">
        <is>
          <t>2024-03-25</t>
        </is>
      </c>
      <c r="B2248" t="n">
        <v>19.821</v>
      </c>
      <c r="C2248" t="n">
        <v>30.269</v>
      </c>
    </row>
    <row r="2249">
      <c r="A2249" t="inlineStr">
        <is>
          <t>2024-03-26</t>
        </is>
      </c>
      <c r="B2249" t="n">
        <v>19.8756</v>
      </c>
      <c r="C2249" t="n">
        <v>30.354</v>
      </c>
    </row>
    <row r="2250">
      <c r="A2250" t="inlineStr">
        <is>
          <t>2024-03-27</t>
        </is>
      </c>
      <c r="B2250" t="n">
        <v>19.9124</v>
      </c>
      <c r="C2250" t="n">
        <v>30.4083</v>
      </c>
    </row>
    <row r="2251">
      <c r="A2251" t="inlineStr">
        <is>
          <t>2024-03-28</t>
        </is>
      </c>
      <c r="B2251" t="n">
        <v>19.7425</v>
      </c>
      <c r="C2251" t="n">
        <v>30.1472</v>
      </c>
    </row>
    <row r="2252">
      <c r="A2252" t="inlineStr">
        <is>
          <t>2024-03-29</t>
        </is>
      </c>
      <c r="B2252" t="n">
        <v>19.8828</v>
      </c>
      <c r="C2252" t="n">
        <v>30.3626</v>
      </c>
    </row>
    <row r="2253">
      <c r="A2253" t="inlineStr">
        <is>
          <t>2024-04-01</t>
        </is>
      </c>
      <c r="B2253" t="n">
        <v>19.9001</v>
      </c>
      <c r="C2253" t="n">
        <v>30.3894</v>
      </c>
    </row>
    <row r="2254">
      <c r="A2254" t="inlineStr">
        <is>
          <t>2024-04-02</t>
        </is>
      </c>
      <c r="B2254" t="n">
        <v>19.9151</v>
      </c>
      <c r="C2254" t="n">
        <v>30.4131</v>
      </c>
    </row>
    <row r="2255">
      <c r="A2255" t="inlineStr">
        <is>
          <t>2024-04-03</t>
        </is>
      </c>
      <c r="B2255" t="n">
        <v>19.8825</v>
      </c>
      <c r="C2255" t="n">
        <v>30.3626</v>
      </c>
    </row>
    <row r="2256">
      <c r="A2256" t="inlineStr">
        <is>
          <t>2024-04-04</t>
        </is>
      </c>
      <c r="B2256" t="n">
        <v>19.8841</v>
      </c>
      <c r="C2256" t="n">
        <v>30.3642</v>
      </c>
    </row>
    <row r="2257">
      <c r="A2257" t="inlineStr">
        <is>
          <t>2024-04-05</t>
        </is>
      </c>
      <c r="B2257" t="n">
        <v>19.9331</v>
      </c>
      <c r="C2257" t="n">
        <v>30.4389</v>
      </c>
    </row>
    <row r="2258">
      <c r="A2258" t="inlineStr">
        <is>
          <t>2024-04-09</t>
        </is>
      </c>
      <c r="B2258" t="n">
        <v>20.3645</v>
      </c>
      <c r="C2258" t="n">
        <v>31.0979</v>
      </c>
    </row>
    <row r="2259">
      <c r="A2259" t="inlineStr">
        <is>
          <t>2024-04-10</t>
        </is>
      </c>
      <c r="B2259" t="n">
        <v>20.4426</v>
      </c>
      <c r="C2259" t="n">
        <v>31.219</v>
      </c>
    </row>
    <row r="2260">
      <c r="A2260" t="inlineStr">
        <is>
          <t>2024-04-11</t>
        </is>
      </c>
      <c r="B2260" t="n">
        <v>20.2358</v>
      </c>
      <c r="C2260" t="n">
        <v>30.9035</v>
      </c>
    </row>
    <row r="2261">
      <c r="A2261" t="inlineStr">
        <is>
          <t>2024-04-17</t>
        </is>
      </c>
      <c r="B2261" t="n">
        <v>19.8554</v>
      </c>
      <c r="C2261" t="n">
        <v>30.3226</v>
      </c>
    </row>
    <row r="2262">
      <c r="A2262" t="inlineStr">
        <is>
          <t>2024-04-18</t>
        </is>
      </c>
      <c r="B2262" t="n">
        <v>19.7496</v>
      </c>
      <c r="C2262" t="n">
        <v>30.158</v>
      </c>
    </row>
    <row r="2263">
      <c r="A2263" t="inlineStr">
        <is>
          <t>2024-04-19</t>
        </is>
      </c>
      <c r="B2263" t="n">
        <v>19.329</v>
      </c>
      <c r="C2263" t="n">
        <v>29.5179</v>
      </c>
    </row>
    <row r="2264">
      <c r="A2264" t="inlineStr">
        <is>
          <t>2024-04-22</t>
        </is>
      </c>
      <c r="B2264" t="n">
        <v>19.6106</v>
      </c>
      <c r="C2264" t="n">
        <v>29.9449</v>
      </c>
    </row>
    <row r="2265">
      <c r="A2265" t="inlineStr">
        <is>
          <t>2024-04-23</t>
        </is>
      </c>
      <c r="B2265" t="n">
        <v>19.7314</v>
      </c>
      <c r="C2265" t="n">
        <v>30.1293</v>
      </c>
    </row>
    <row r="2266">
      <c r="A2266" t="inlineStr">
        <is>
          <t>2024-04-24</t>
        </is>
      </c>
      <c r="B2266" t="n">
        <v>19.7978</v>
      </c>
      <c r="C2266" t="n">
        <v>30.231</v>
      </c>
    </row>
    <row r="2267">
      <c r="A2267" t="inlineStr">
        <is>
          <t>2024-04-25</t>
        </is>
      </c>
      <c r="B2267" t="n">
        <v>19.8401</v>
      </c>
      <c r="C2267" t="n">
        <v>30.2946</v>
      </c>
    </row>
    <row r="2268">
      <c r="A2268" t="inlineStr">
        <is>
          <t>2024-04-26</t>
        </is>
      </c>
      <c r="B2268" t="n">
        <v>19.7731</v>
      </c>
      <c r="C2268" t="n">
        <v>30.1927</v>
      </c>
    </row>
    <row r="2269">
      <c r="A2269" t="inlineStr">
        <is>
          <t>2024-04-29</t>
        </is>
      </c>
      <c r="B2269" t="n">
        <v>19.7815</v>
      </c>
      <c r="C2269" t="n">
        <v>30.2058</v>
      </c>
    </row>
    <row r="2270">
      <c r="A2270" t="inlineStr">
        <is>
          <t>2024-04-30</t>
        </is>
      </c>
      <c r="B2270" t="n">
        <v>19.8724</v>
      </c>
      <c r="C2270" t="n">
        <v>30.3438</v>
      </c>
    </row>
    <row r="2271">
      <c r="A2271" t="inlineStr">
        <is>
          <t>2024-05-02</t>
        </is>
      </c>
      <c r="B2271" t="n">
        <v>19.8138</v>
      </c>
      <c r="C2271" t="n">
        <v>30.2529</v>
      </c>
    </row>
    <row r="2272">
      <c r="A2272" t="inlineStr">
        <is>
          <t>2024-05-03</t>
        </is>
      </c>
      <c r="B2272" t="n">
        <v>19.9467</v>
      </c>
      <c r="C2272" t="n">
        <v>30.4578</v>
      </c>
    </row>
    <row r="2273">
      <c r="A2273" t="inlineStr">
        <is>
          <t>2024-05-07</t>
        </is>
      </c>
      <c r="B2273" t="n">
        <v>20.0864</v>
      </c>
      <c r="C2273" t="n">
        <v>30.6699</v>
      </c>
    </row>
    <row r="2274">
      <c r="A2274" t="inlineStr">
        <is>
          <t>2024-05-08</t>
        </is>
      </c>
      <c r="B2274" t="n">
        <v>20.039</v>
      </c>
      <c r="C2274" t="n">
        <v>30.5989</v>
      </c>
    </row>
    <row r="2275">
      <c r="A2275" t="inlineStr">
        <is>
          <t>2024-05-09</t>
        </is>
      </c>
      <c r="B2275" t="n">
        <v>19.9991</v>
      </c>
      <c r="C2275" t="n">
        <v>30.536</v>
      </c>
    </row>
    <row r="2276">
      <c r="A2276" t="inlineStr">
        <is>
          <t>2024-05-10</t>
        </is>
      </c>
      <c r="B2276" t="n">
        <v>20.0563</v>
      </c>
      <c r="C2276" t="n">
        <v>30.623</v>
      </c>
    </row>
    <row r="2277">
      <c r="A2277" t="inlineStr">
        <is>
          <t>2024-05-13</t>
        </is>
      </c>
      <c r="B2277" t="n">
        <v>20.0719</v>
      </c>
      <c r="C2277" t="n">
        <v>30.6449</v>
      </c>
    </row>
    <row r="2278">
      <c r="A2278" t="inlineStr">
        <is>
          <t>2024-05-14</t>
        </is>
      </c>
      <c r="B2278" t="n">
        <v>20.1502</v>
      </c>
      <c r="C2278" t="n">
        <v>30.7636</v>
      </c>
    </row>
    <row r="2279">
      <c r="A2279" t="inlineStr">
        <is>
          <t>2024-05-15</t>
        </is>
      </c>
      <c r="B2279" t="n">
        <v>19.482</v>
      </c>
      <c r="C2279" t="n">
        <v>30.6482</v>
      </c>
    </row>
    <row r="2280">
      <c r="A2280" t="inlineStr">
        <is>
          <t>2024-05-16</t>
        </is>
      </c>
      <c r="B2280" t="n">
        <v>19.6111</v>
      </c>
      <c r="C2280" t="n">
        <v>30.8496</v>
      </c>
    </row>
    <row r="2281">
      <c r="A2281" t="inlineStr">
        <is>
          <t>2024-05-17</t>
        </is>
      </c>
      <c r="B2281" t="n">
        <v>19.6967</v>
      </c>
      <c r="C2281" t="n">
        <v>30.9836</v>
      </c>
    </row>
    <row r="2282">
      <c r="A2282" t="inlineStr">
        <is>
          <t>2024-05-20</t>
        </is>
      </c>
      <c r="B2282" t="n">
        <v>19.6252</v>
      </c>
      <c r="C2282" t="n">
        <v>30.8728</v>
      </c>
    </row>
    <row r="2283">
      <c r="A2283" t="inlineStr">
        <is>
          <t>2024-05-21</t>
        </is>
      </c>
      <c r="B2283" t="n">
        <v>19.4864</v>
      </c>
      <c r="C2283" t="n">
        <v>30.6524</v>
      </c>
    </row>
    <row r="2284">
      <c r="A2284" t="inlineStr">
        <is>
          <t>2024-05-23</t>
        </is>
      </c>
      <c r="B2284" t="n">
        <v>19.457</v>
      </c>
      <c r="C2284" t="n">
        <v>30.6066</v>
      </c>
    </row>
    <row r="2285">
      <c r="A2285" t="inlineStr">
        <is>
          <t>2024-05-24</t>
        </is>
      </c>
      <c r="B2285" t="n">
        <v>19.3812</v>
      </c>
      <c r="C2285" t="n">
        <v>30.4866</v>
      </c>
    </row>
    <row r="2286">
      <c r="A2286" t="inlineStr">
        <is>
          <t>2024-05-27</t>
        </is>
      </c>
      <c r="B2286" t="n">
        <v>19.4365</v>
      </c>
      <c r="C2286" t="n">
        <v>30.576</v>
      </c>
    </row>
    <row r="2287">
      <c r="A2287" t="inlineStr">
        <is>
          <t>2024-05-28</t>
        </is>
      </c>
      <c r="B2287" t="n">
        <v>19.3634</v>
      </c>
      <c r="C2287" t="n">
        <v>30.4617</v>
      </c>
    </row>
    <row r="2288">
      <c r="A2288" t="inlineStr">
        <is>
          <t>2024-05-29</t>
        </is>
      </c>
      <c r="B2288" t="n">
        <v>19.1356</v>
      </c>
      <c r="C2288" t="n">
        <v>30.1032</v>
      </c>
    </row>
    <row r="2289">
      <c r="A2289" t="inlineStr">
        <is>
          <t>2024-05-30</t>
        </is>
      </c>
      <c r="B2289" t="n">
        <v>19.1538</v>
      </c>
      <c r="C2289" t="n">
        <v>30.1313</v>
      </c>
    </row>
    <row r="2290">
      <c r="A2290" t="inlineStr">
        <is>
          <t>2024-05-31</t>
        </is>
      </c>
      <c r="B2290" t="n">
        <v>19.0524</v>
      </c>
      <c r="C2290" t="n">
        <v>29.9716</v>
      </c>
    </row>
    <row r="2291">
      <c r="A2291" t="inlineStr">
        <is>
          <t>2024-06-04</t>
        </is>
      </c>
      <c r="B2291" t="n">
        <v>18.9689</v>
      </c>
      <c r="C2291" t="n">
        <v>29.8379</v>
      </c>
    </row>
    <row r="2292">
      <c r="A2292" t="inlineStr">
        <is>
          <t>2024-06-05</t>
        </is>
      </c>
      <c r="B2292" t="n">
        <v>18.9812</v>
      </c>
      <c r="C2292" t="n">
        <v>29.8564</v>
      </c>
    </row>
    <row r="2293">
      <c r="A2293" t="inlineStr">
        <is>
          <t>2024-06-06</t>
        </is>
      </c>
      <c r="B2293" t="n">
        <v>18.8504</v>
      </c>
      <c r="C2293" t="n">
        <v>29.6503</v>
      </c>
    </row>
    <row r="2294">
      <c r="A2294" t="inlineStr">
        <is>
          <t>2024-06-07</t>
        </is>
      </c>
      <c r="B2294" t="n">
        <v>18.9118</v>
      </c>
      <c r="C2294" t="n">
        <v>29.7475</v>
      </c>
    </row>
    <row r="2295">
      <c r="A2295" t="inlineStr">
        <is>
          <t>2024-06-10</t>
        </is>
      </c>
      <c r="B2295" t="n">
        <v>18.7232</v>
      </c>
      <c r="C2295" t="n">
        <v>29.4494</v>
      </c>
    </row>
    <row r="2296">
      <c r="A2296" t="inlineStr">
        <is>
          <t>2024-06-11</t>
        </is>
      </c>
      <c r="B2296" t="n">
        <v>18.6834</v>
      </c>
      <c r="C2296" t="n">
        <v>29.3871</v>
      </c>
    </row>
    <row r="2297">
      <c r="A2297" t="inlineStr">
        <is>
          <t>2024-06-12</t>
        </is>
      </c>
      <c r="B2297" t="n">
        <v>18.7473</v>
      </c>
      <c r="C2297" t="n">
        <v>29.4884</v>
      </c>
    </row>
    <row r="2298">
      <c r="A2298" t="inlineStr">
        <is>
          <t>2024-06-13</t>
        </is>
      </c>
      <c r="B2298" t="n">
        <v>18.6973</v>
      </c>
      <c r="C2298" t="n">
        <v>29.4095</v>
      </c>
    </row>
    <row r="2299">
      <c r="A2299" t="inlineStr">
        <is>
          <t>2024-06-14</t>
        </is>
      </c>
      <c r="B2299" t="n">
        <v>18.6559</v>
      </c>
      <c r="C2299" t="n">
        <v>29.3441</v>
      </c>
    </row>
    <row r="2300">
      <c r="A2300" t="inlineStr">
        <is>
          <t>2024-06-17</t>
        </is>
      </c>
      <c r="B2300" t="n">
        <v>18.5092</v>
      </c>
      <c r="C2300" t="n">
        <v>29.1123</v>
      </c>
    </row>
    <row r="2301">
      <c r="A2301" t="inlineStr">
        <is>
          <t>2024-06-18</t>
        </is>
      </c>
      <c r="B2301" t="n">
        <v>18.5079</v>
      </c>
      <c r="C2301" t="n">
        <v>29.1104</v>
      </c>
    </row>
    <row r="2302">
      <c r="A2302" t="inlineStr">
        <is>
          <t>2024-06-19</t>
        </is>
      </c>
      <c r="B2302" t="n">
        <v>18.7081</v>
      </c>
      <c r="C2302" t="n">
        <v>29.4255</v>
      </c>
    </row>
    <row r="2303">
      <c r="A2303" t="inlineStr">
        <is>
          <t>2024-06-20</t>
        </is>
      </c>
      <c r="B2303" t="n">
        <v>18.617</v>
      </c>
      <c r="C2303" t="n">
        <v>29.2832</v>
      </c>
    </row>
    <row r="2304">
      <c r="A2304" t="inlineStr">
        <is>
          <t>2024-06-21</t>
        </is>
      </c>
      <c r="B2304" t="n">
        <v>18.6525</v>
      </c>
      <c r="C2304" t="n">
        <v>29.3393</v>
      </c>
    </row>
    <row r="2305">
      <c r="A2305" t="inlineStr">
        <is>
          <t>2024-06-24</t>
        </is>
      </c>
      <c r="B2305" t="n">
        <v>18.8073</v>
      </c>
      <c r="C2305" t="n">
        <v>29.5821</v>
      </c>
    </row>
    <row r="2306">
      <c r="A2306" t="inlineStr">
        <is>
          <t>2024-06-25</t>
        </is>
      </c>
      <c r="B2306" t="n">
        <v>18.831</v>
      </c>
      <c r="C2306" t="n">
        <v>29.619</v>
      </c>
    </row>
    <row r="2307">
      <c r="A2307" t="inlineStr">
        <is>
          <t>2024-06-26</t>
        </is>
      </c>
      <c r="B2307" t="n">
        <v>18.8545</v>
      </c>
      <c r="C2307" t="n">
        <v>29.6557</v>
      </c>
    </row>
    <row r="2308">
      <c r="A2308" t="inlineStr">
        <is>
          <t>2024-11-15</t>
        </is>
      </c>
      <c r="B2308" t="n">
        <v>21.6312</v>
      </c>
      <c r="C2308" t="n">
        <v>33.9958</v>
      </c>
    </row>
    <row r="2309">
      <c r="A2309" t="inlineStr">
        <is>
          <t>2024-11-18</t>
        </is>
      </c>
      <c r="B2309" t="n">
        <v>21.7997</v>
      </c>
      <c r="C2309" t="n">
        <v>34.2615</v>
      </c>
    </row>
    <row r="2310">
      <c r="A2310" t="inlineStr">
        <is>
          <t>2024-11-19</t>
        </is>
      </c>
      <c r="B2310" t="n">
        <v>21.9323</v>
      </c>
      <c r="C2310" t="n">
        <v>34.471</v>
      </c>
    </row>
    <row r="2311">
      <c r="A2311" t="inlineStr">
        <is>
          <t>2024-11-20</t>
        </is>
      </c>
      <c r="B2311" t="n">
        <v>22.0061</v>
      </c>
      <c r="C2311" t="n">
        <v>34.5881</v>
      </c>
    </row>
    <row r="2312">
      <c r="A2312" t="inlineStr">
        <is>
          <t>2024-11-21</t>
        </is>
      </c>
      <c r="B2312" t="n">
        <v>21.5727</v>
      </c>
      <c r="C2312" t="n">
        <v>33.9053</v>
      </c>
    </row>
    <row r="2313">
      <c r="A2313" t="inlineStr">
        <is>
          <t>2024-11-22</t>
        </is>
      </c>
      <c r="B2313" t="n">
        <v>21.6771</v>
      </c>
      <c r="C2313" t="n">
        <v>34.0689</v>
      </c>
    </row>
    <row r="2314">
      <c r="A2314" t="inlineStr">
        <is>
          <t>2024-11-25</t>
        </is>
      </c>
      <c r="B2314" t="n">
        <v>21.635</v>
      </c>
      <c r="C2314" t="n">
        <v>34.0003</v>
      </c>
    </row>
    <row r="2315">
      <c r="A2315" t="inlineStr">
        <is>
          <t>2024-11-26</t>
        </is>
      </c>
      <c r="B2315" t="n">
        <v>21.5615</v>
      </c>
      <c r="C2315" t="n">
        <v>33.8856</v>
      </c>
    </row>
    <row r="2316">
      <c r="A2316" t="inlineStr">
        <is>
          <t>2024-11-27</t>
        </is>
      </c>
      <c r="B2316" t="n">
        <v>21.4391</v>
      </c>
      <c r="C2316" t="n">
        <v>33.691</v>
      </c>
    </row>
    <row r="2317">
      <c r="A2317" t="inlineStr">
        <is>
          <t>2024-11-28</t>
        </is>
      </c>
      <c r="B2317" t="n">
        <v>21.3901</v>
      </c>
      <c r="C2317" t="n">
        <v>33.6105</v>
      </c>
    </row>
    <row r="2318">
      <c r="A2318" t="inlineStr">
        <is>
          <t>2024-11-29</t>
        </is>
      </c>
      <c r="B2318" t="n">
        <v>21.324</v>
      </c>
      <c r="C2318" t="n">
        <v>33.5089</v>
      </c>
    </row>
    <row r="2319">
      <c r="A2319" t="inlineStr">
        <is>
          <t>2024-12-02</t>
        </is>
      </c>
      <c r="B2319" t="n">
        <v>21.5119</v>
      </c>
      <c r="C2319" t="n">
        <v>33.8037</v>
      </c>
    </row>
    <row r="2320">
      <c r="A2320" t="inlineStr">
        <is>
          <t>2024-12-03</t>
        </is>
      </c>
      <c r="B2320" t="n">
        <v>21.8229</v>
      </c>
      <c r="C2320" t="n">
        <v>34.2878</v>
      </c>
    </row>
    <row r="2321">
      <c r="A2321" t="inlineStr">
        <is>
          <t>2024-12-04</t>
        </is>
      </c>
      <c r="B2321" t="n">
        <v>21.7437</v>
      </c>
      <c r="C2321" t="n">
        <v>34.1639</v>
      </c>
    </row>
    <row r="2322">
      <c r="A2322" t="inlineStr">
        <is>
          <t>2024-12-06</t>
        </is>
      </c>
      <c r="B2322" t="n">
        <v>21.7728</v>
      </c>
      <c r="C2322" t="n">
        <v>34.208</v>
      </c>
    </row>
    <row r="2323">
      <c r="A2323" t="inlineStr">
        <is>
          <t>2024-12-09</t>
        </is>
      </c>
      <c r="B2323" t="n">
        <v>21.7282</v>
      </c>
      <c r="C2323" t="n">
        <v>34.1383</v>
      </c>
    </row>
    <row r="2324">
      <c r="A2324" t="inlineStr">
        <is>
          <t>2024-12-11</t>
        </is>
      </c>
      <c r="B2324" t="n">
        <v>21.6582</v>
      </c>
      <c r="C2324" t="n">
        <v>34.0282</v>
      </c>
    </row>
    <row r="2325">
      <c r="A2325" t="inlineStr">
        <is>
          <t>2024-12-12</t>
        </is>
      </c>
      <c r="B2325" t="n">
        <v>21.6145</v>
      </c>
      <c r="C2325" t="n">
        <v>33.9607</v>
      </c>
    </row>
    <row r="2326">
      <c r="A2326" t="inlineStr">
        <is>
          <t>2024-12-13</t>
        </is>
      </c>
      <c r="B2326" t="n">
        <v>21.4577</v>
      </c>
      <c r="C2326" t="n">
        <v>33.7126</v>
      </c>
    </row>
    <row r="2327">
      <c r="A2327" t="inlineStr">
        <is>
          <t>2024-12-16</t>
        </is>
      </c>
      <c r="B2327" t="n">
        <v>21.3772</v>
      </c>
      <c r="C2327" t="n">
        <v>33.5852</v>
      </c>
    </row>
    <row r="2328">
      <c r="A2328" t="inlineStr">
        <is>
          <t>2024-12-17</t>
        </is>
      </c>
      <c r="B2328" t="n">
        <v>20.9821</v>
      </c>
      <c r="C2328" t="n">
        <v>32.9667</v>
      </c>
    </row>
    <row r="2329">
      <c r="A2329" t="inlineStr">
        <is>
          <t>2024-12-18</t>
        </is>
      </c>
      <c r="B2329" t="n">
        <v>21.0441</v>
      </c>
      <c r="C2329" t="n">
        <v>33.0648</v>
      </c>
    </row>
    <row r="2330">
      <c r="A2330" t="inlineStr">
        <is>
          <t>2024-12-19</t>
        </is>
      </c>
      <c r="B2330" t="n">
        <v>20.7028</v>
      </c>
      <c r="C2330" t="n">
        <v>32.5297</v>
      </c>
    </row>
    <row r="2331">
      <c r="A2331" t="inlineStr">
        <is>
          <t>2024-12-20</t>
        </is>
      </c>
      <c r="B2331" t="n">
        <v>20.5347</v>
      </c>
      <c r="C2331" t="n">
        <v>32.2646</v>
      </c>
    </row>
    <row r="2332">
      <c r="A2332" t="inlineStr">
        <is>
          <t>2024-12-23</t>
        </is>
      </c>
      <c r="B2332" t="n">
        <v>20.9094</v>
      </c>
      <c r="C2332" t="n">
        <v>32.8554</v>
      </c>
    </row>
    <row r="2333">
      <c r="A2333" t="inlineStr">
        <is>
          <t>2024-12-24</t>
        </is>
      </c>
      <c r="B2333" t="n">
        <v>21.0136</v>
      </c>
      <c r="C2333" t="n">
        <v>33.0184</v>
      </c>
    </row>
    <row r="2334">
      <c r="A2334" t="inlineStr">
        <is>
          <t>2024-12-25</t>
        </is>
      </c>
      <c r="B2334" t="n">
        <v>21.0725</v>
      </c>
      <c r="C2334" t="n">
        <v>33.1102</v>
      </c>
    </row>
    <row r="2335">
      <c r="A2335" t="inlineStr">
        <is>
          <t>2024-12-26</t>
        </is>
      </c>
      <c r="B2335" t="n">
        <v>21.0571</v>
      </c>
      <c r="C2335" t="n">
        <v>33.0871</v>
      </c>
    </row>
    <row r="2336">
      <c r="A2336" t="inlineStr">
        <is>
          <t>2024-12-27</t>
        </is>
      </c>
      <c r="B2336" t="n">
        <v>21.1144</v>
      </c>
      <c r="C2336" t="n">
        <v>33.1755</v>
      </c>
    </row>
    <row r="2337">
      <c r="A2337" t="inlineStr">
        <is>
          <t>2024-12-30</t>
        </is>
      </c>
      <c r="B2337" t="n">
        <v>21.0502</v>
      </c>
      <c r="C2337" t="n">
        <v>33.0717</v>
      </c>
    </row>
    <row r="2338">
      <c r="A2338" t="inlineStr">
        <is>
          <t>2025-01-02</t>
        </is>
      </c>
      <c r="B2338" t="n">
        <v>20.7164</v>
      </c>
      <c r="C2338" t="n">
        <v>32.5421</v>
      </c>
    </row>
    <row r="2339">
      <c r="A2339" t="inlineStr">
        <is>
          <t>2025-01-03</t>
        </is>
      </c>
      <c r="B2339" t="n">
        <v>20.8158</v>
      </c>
      <c r="C2339" t="n">
        <v>32.6987</v>
      </c>
    </row>
    <row r="2340">
      <c r="A2340" t="inlineStr">
        <is>
          <t>2025-01-06</t>
        </is>
      </c>
      <c r="B2340" t="n">
        <v>20.6449</v>
      </c>
      <c r="C2340" t="n">
        <v>32.4283</v>
      </c>
    </row>
    <row r="2341">
      <c r="A2341" t="inlineStr">
        <is>
          <t>2025-01-07</t>
        </is>
      </c>
      <c r="B2341" t="n">
        <v>20.9703</v>
      </c>
      <c r="C2341" t="n">
        <v>32.9441</v>
      </c>
    </row>
    <row r="2342">
      <c r="A2342" t="inlineStr">
        <is>
          <t>2025-01-08</t>
        </is>
      </c>
      <c r="B2342" t="n">
        <v>20.9544</v>
      </c>
      <c r="C2342" t="n">
        <v>32.922</v>
      </c>
    </row>
    <row r="2343">
      <c r="A2343" t="inlineStr">
        <is>
          <t>2025-01-09</t>
        </is>
      </c>
      <c r="B2343" t="n">
        <v>20.6206</v>
      </c>
      <c r="C2343" t="n">
        <v>32.3963</v>
      </c>
    </row>
    <row r="2344">
      <c r="A2344" t="inlineStr">
        <is>
          <t>2025-01-10</t>
        </is>
      </c>
      <c r="B2344" t="n">
        <v>20.7271</v>
      </c>
      <c r="C2344" t="n">
        <v>32.5598</v>
      </c>
    </row>
    <row r="2345">
      <c r="A2345" t="inlineStr">
        <is>
          <t>2025-01-13</t>
        </is>
      </c>
      <c r="B2345" t="n">
        <v>20.494</v>
      </c>
      <c r="C2345" t="n">
        <v>32.1937</v>
      </c>
    </row>
    <row r="2346">
      <c r="A2346" t="inlineStr">
        <is>
          <t>2025-01-14</t>
        </is>
      </c>
      <c r="B2346" t="n">
        <v>20.3098</v>
      </c>
      <c r="C2346" t="n">
        <v>31.9042</v>
      </c>
    </row>
    <row r="2347">
      <c r="A2347" t="inlineStr">
        <is>
          <t>2025-01-15</t>
        </is>
      </c>
      <c r="B2347" t="n">
        <v>20.5346</v>
      </c>
      <c r="C2347" t="n">
        <v>32.257</v>
      </c>
    </row>
    <row r="2348">
      <c r="A2348" t="inlineStr">
        <is>
          <t>2025-01-16</t>
        </is>
      </c>
      <c r="B2348" t="n">
        <v>20.5212</v>
      </c>
      <c r="C2348" t="n">
        <v>32.2316</v>
      </c>
    </row>
    <row r="2349">
      <c r="A2349" t="inlineStr">
        <is>
          <t>2025-01-17</t>
        </is>
      </c>
      <c r="B2349" t="n">
        <v>20.3426</v>
      </c>
      <c r="C2349" t="n">
        <v>31.9532</v>
      </c>
    </row>
    <row r="2350">
      <c r="A2350" t="inlineStr">
        <is>
          <t>2025-01-20</t>
        </is>
      </c>
      <c r="B2350" t="n">
        <v>20.3473</v>
      </c>
      <c r="C2350" t="n">
        <v>31.9606</v>
      </c>
    </row>
    <row r="2351">
      <c r="A2351" t="inlineStr">
        <is>
          <t>2025-01-21</t>
        </is>
      </c>
      <c r="B2351" t="n">
        <v>20.5285</v>
      </c>
      <c r="C2351" t="n">
        <v>32.2453</v>
      </c>
    </row>
    <row r="2352">
      <c r="A2352" t="inlineStr">
        <is>
          <t>2025-01-22</t>
        </is>
      </c>
      <c r="B2352" t="n">
        <v>20.6879</v>
      </c>
      <c r="C2352" t="n">
        <v>32.4907</v>
      </c>
    </row>
    <row r="2353">
      <c r="A2353" t="inlineStr">
        <is>
          <t>2025-01-23</t>
        </is>
      </c>
      <c r="B2353" t="n">
        <v>20.3836</v>
      </c>
      <c r="C2353" t="n">
        <v>32.0145</v>
      </c>
    </row>
    <row r="2354">
      <c r="A2354" t="inlineStr">
        <is>
          <t>2025-01-24</t>
        </is>
      </c>
      <c r="B2354" t="n">
        <v>20.5385</v>
      </c>
      <c r="C2354" t="n">
        <v>32.2572</v>
      </c>
    </row>
    <row r="2355">
      <c r="A2355" t="inlineStr">
        <is>
          <t>2025-01-27</t>
        </is>
      </c>
      <c r="B2355" t="n">
        <v>20.2962</v>
      </c>
      <c r="C2355" t="n">
        <v>31.8777</v>
      </c>
    </row>
    <row r="2356">
      <c r="A2356" t="inlineStr">
        <is>
          <t>2025-01-28</t>
        </is>
      </c>
      <c r="B2356" t="n">
        <v>20.3569</v>
      </c>
      <c r="C2356" t="n">
        <v>31.9732</v>
      </c>
    </row>
    <row r="2357">
      <c r="A2357" t="inlineStr">
        <is>
          <t>2025-01-29</t>
        </is>
      </c>
      <c r="B2357" t="n">
        <v>20.3334</v>
      </c>
      <c r="C2357" t="n">
        <v>31.9367</v>
      </c>
    </row>
    <row r="2358">
      <c r="A2358" t="inlineStr">
        <is>
          <t>2025-01-30</t>
        </is>
      </c>
      <c r="B2358" t="n">
        <v>20.2126</v>
      </c>
      <c r="C2358" t="n">
        <v>31.7483</v>
      </c>
    </row>
    <row r="2359">
      <c r="A2359" t="inlineStr">
        <is>
          <t>2025-01-31</t>
        </is>
      </c>
      <c r="B2359" t="n">
        <v>19.8916</v>
      </c>
      <c r="C2359" t="n">
        <v>31.2417</v>
      </c>
    </row>
    <row r="2360">
      <c r="A2360" t="inlineStr">
        <is>
          <t>2025-02-03</t>
        </is>
      </c>
      <c r="B2360" t="n">
        <v>19.7327</v>
      </c>
      <c r="C2360" t="n">
        <v>30.9923</v>
      </c>
    </row>
    <row r="2361">
      <c r="A2361" t="inlineStr">
        <is>
          <t>2025-02-04</t>
        </is>
      </c>
      <c r="B2361" t="n">
        <v>19.7093</v>
      </c>
      <c r="C2361" t="n">
        <v>30.9558</v>
      </c>
    </row>
    <row r="2362">
      <c r="A2362" t="inlineStr">
        <is>
          <t>2025-02-05</t>
        </is>
      </c>
      <c r="B2362" t="n">
        <v>19.4699</v>
      </c>
      <c r="C2362" t="n">
        <v>30.5786</v>
      </c>
    </row>
    <row r="2363">
      <c r="A2363" t="inlineStr">
        <is>
          <t>2025-02-06</t>
        </is>
      </c>
      <c r="B2363" t="n">
        <v>19.101</v>
      </c>
      <c r="C2363" t="n">
        <v>29.9975</v>
      </c>
    </row>
    <row r="2364">
      <c r="A2364" t="inlineStr">
        <is>
          <t>2025-02-07</t>
        </is>
      </c>
      <c r="B2364" t="n">
        <v>19.472</v>
      </c>
      <c r="C2364" t="n">
        <v>30.5822</v>
      </c>
    </row>
    <row r="2365">
      <c r="A2365" t="inlineStr">
        <is>
          <t>2025-02-10</t>
        </is>
      </c>
      <c r="B2365" t="n">
        <v>19.2791</v>
      </c>
      <c r="C2365" t="n">
        <v>30.2791</v>
      </c>
    </row>
    <row r="2366">
      <c r="A2366" t="inlineStr">
        <is>
          <t>2025-02-11</t>
        </is>
      </c>
      <c r="B2366" t="n">
        <v>19.4449</v>
      </c>
      <c r="C2366" t="n">
        <v>30.5429</v>
      </c>
    </row>
    <row r="2367">
      <c r="A2367" t="inlineStr">
        <is>
          <t>2025-02-13</t>
        </is>
      </c>
      <c r="B2367" t="n">
        <v>19.496</v>
      </c>
      <c r="C2367" t="n">
        <v>30.6209</v>
      </c>
    </row>
    <row r="2368">
      <c r="A2368" t="inlineStr">
        <is>
          <t>2025-02-14</t>
        </is>
      </c>
      <c r="B2368" t="n">
        <v>19.2524</v>
      </c>
      <c r="C2368" t="n">
        <v>30.2438</v>
      </c>
    </row>
    <row r="2369">
      <c r="A2369" t="inlineStr">
        <is>
          <t>2025-02-17</t>
        </is>
      </c>
      <c r="B2369" t="n">
        <v>18.8348</v>
      </c>
      <c r="C2369" t="n">
        <v>29.5912</v>
      </c>
    </row>
    <row r="2370">
      <c r="A2370" t="inlineStr">
        <is>
          <t>2025-02-18</t>
        </is>
      </c>
      <c r="B2370" t="n">
        <v>18.7747</v>
      </c>
      <c r="C2370" t="n">
        <v>29.4966</v>
      </c>
    </row>
    <row r="2371">
      <c r="A2371" t="inlineStr">
        <is>
          <t>2025-02-19</t>
        </is>
      </c>
      <c r="B2371" t="n">
        <v>18.8366</v>
      </c>
      <c r="C2371" t="n">
        <v>29.5963</v>
      </c>
    </row>
    <row r="2372">
      <c r="A2372" t="inlineStr">
        <is>
          <t>2025-02-20</t>
        </is>
      </c>
      <c r="B2372" t="n">
        <v>18.5509</v>
      </c>
      <c r="C2372" t="n">
        <v>29.1569</v>
      </c>
    </row>
    <row r="2373">
      <c r="A2373" t="inlineStr">
        <is>
          <t>2025-02-21</t>
        </is>
      </c>
      <c r="B2373" t="n">
        <v>18.5525</v>
      </c>
      <c r="C2373" t="n">
        <v>29.1559</v>
      </c>
    </row>
    <row r="2374">
      <c r="A2374" t="inlineStr">
        <is>
          <t>2025-02-24</t>
        </is>
      </c>
      <c r="B2374" t="n">
        <v>18.3788</v>
      </c>
      <c r="C2374" t="n">
        <v>28.8752</v>
      </c>
    </row>
    <row r="2375">
      <c r="A2375" t="inlineStr">
        <is>
          <t>2025-02-25</t>
        </is>
      </c>
      <c r="B2375" t="n">
        <v>17.9729</v>
      </c>
      <c r="C2375" t="n">
        <v>28.2393</v>
      </c>
    </row>
    <row r="2376">
      <c r="A2376" t="inlineStr">
        <is>
          <t>2025-02-26</t>
        </is>
      </c>
      <c r="B2376" t="n">
        <v>18.3589</v>
      </c>
      <c r="C2376" t="n">
        <v>28.8356</v>
      </c>
    </row>
    <row r="2377">
      <c r="A2377" t="inlineStr">
        <is>
          <t>2025-02-27</t>
        </is>
      </c>
      <c r="B2377" t="n">
        <v>18.1495</v>
      </c>
      <c r="C2377" t="n">
        <v>28.5119</v>
      </c>
    </row>
    <row r="2378">
      <c r="A2378" t="inlineStr">
        <is>
          <t>2025-02-28</t>
        </is>
      </c>
      <c r="B2378" t="n">
        <v>17.9511</v>
      </c>
      <c r="C2378" t="n">
        <v>28.197</v>
      </c>
    </row>
    <row r="2379">
      <c r="A2379" t="inlineStr">
        <is>
          <t>2025-03-03</t>
        </is>
      </c>
      <c r="B2379" t="n">
        <v>17.6935</v>
      </c>
      <c r="C2379" t="n">
        <v>27.7939</v>
      </c>
    </row>
    <row r="2380">
      <c r="A2380" t="inlineStr">
        <is>
          <t>2025-03-04</t>
        </is>
      </c>
      <c r="B2380" t="n">
        <v>17.4765</v>
      </c>
      <c r="C2380" t="n">
        <v>27.4608</v>
      </c>
    </row>
    <row r="2381">
      <c r="A2381" t="inlineStr">
        <is>
          <t>2025-03-05</t>
        </is>
      </c>
      <c r="B2381" t="n">
        <v>17.9566</v>
      </c>
      <c r="C2381" t="n">
        <v>28.2126</v>
      </c>
    </row>
    <row r="2382">
      <c r="A2382" t="inlineStr">
        <is>
          <t>2025-03-06</t>
        </is>
      </c>
      <c r="B2382" t="n">
        <v>17.724</v>
      </c>
      <c r="C2382" t="n">
        <v>27.8462</v>
      </c>
    </row>
    <row r="2383">
      <c r="A2383" t="inlineStr">
        <is>
          <t>2025-03-07</t>
        </is>
      </c>
      <c r="B2383" t="n">
        <v>17.9364</v>
      </c>
      <c r="C2383" t="n">
        <v>28.1849</v>
      </c>
    </row>
    <row r="2384">
      <c r="A2384" t="inlineStr">
        <is>
          <t>2025-03-10</t>
        </is>
      </c>
      <c r="B2384" t="n">
        <v>17.5209</v>
      </c>
      <c r="C2384" t="n">
        <v>27.5293</v>
      </c>
    </row>
    <row r="2385">
      <c r="A2385" t="inlineStr">
        <is>
          <t>2025-03-11</t>
        </is>
      </c>
      <c r="B2385" t="n">
        <v>17.6807</v>
      </c>
      <c r="C2385" t="n">
        <v>27.7801</v>
      </c>
    </row>
    <row r="2386">
      <c r="A2386" t="inlineStr">
        <is>
          <t>2025-03-12</t>
        </is>
      </c>
      <c r="B2386" t="n">
        <v>17.2537</v>
      </c>
      <c r="C2386" t="n">
        <v>27.1109</v>
      </c>
    </row>
    <row r="2387">
      <c r="A2387" t="inlineStr">
        <is>
          <t>2025-03-13</t>
        </is>
      </c>
      <c r="B2387" t="n">
        <v>17.2533</v>
      </c>
      <c r="C2387" t="n">
        <v>27.1079</v>
      </c>
    </row>
    <row r="2388">
      <c r="A2388" t="inlineStr">
        <is>
          <t>2025-03-14</t>
        </is>
      </c>
      <c r="B2388" t="n">
        <v>17.4873</v>
      </c>
      <c r="C2388" t="n">
        <v>27.4753</v>
      </c>
    </row>
    <row r="2389">
      <c r="A2389" t="inlineStr">
        <is>
          <t>2025-03-17</t>
        </is>
      </c>
      <c r="B2389" t="n">
        <v>17.4313</v>
      </c>
      <c r="C2389" t="n">
        <v>27.3932</v>
      </c>
    </row>
    <row r="2390">
      <c r="A2390" t="inlineStr">
        <is>
          <t>2025-03-18</t>
        </is>
      </c>
      <c r="B2390" t="n">
        <v>17.5523</v>
      </c>
      <c r="C2390" t="n">
        <v>27.5816</v>
      </c>
    </row>
    <row r="2391">
      <c r="A2391" t="inlineStr">
        <is>
          <t>2025-03-19</t>
        </is>
      </c>
      <c r="B2391" t="n">
        <v>17.7616</v>
      </c>
      <c r="C2391" t="n">
        <v>27.9139</v>
      </c>
    </row>
    <row r="2392">
      <c r="A2392" t="inlineStr">
        <is>
          <t>2025-03-20</t>
        </is>
      </c>
      <c r="B2392" t="n">
        <v>17.6226</v>
      </c>
      <c r="C2392" t="n">
        <v>27.6943</v>
      </c>
    </row>
    <row r="2393">
      <c r="A2393" t="inlineStr">
        <is>
          <t>2025-03-21</t>
        </is>
      </c>
      <c r="B2393" t="n">
        <v>17.7767</v>
      </c>
      <c r="C2393" t="n">
        <v>27.9384</v>
      </c>
    </row>
    <row r="2394">
      <c r="A2394" t="inlineStr">
        <is>
          <t>2025-03-24</t>
        </is>
      </c>
      <c r="B2394" t="n">
        <v>17.8612</v>
      </c>
      <c r="C2394" t="n">
        <v>28.0705</v>
      </c>
    </row>
    <row r="2395">
      <c r="A2395" t="inlineStr">
        <is>
          <t>2025-03-25</t>
        </is>
      </c>
      <c r="B2395" t="n">
        <v>17.791</v>
      </c>
      <c r="C2395" t="n">
        <v>27.9566</v>
      </c>
    </row>
    <row r="2396">
      <c r="A2396" t="inlineStr">
        <is>
          <t>2025-03-26</t>
        </is>
      </c>
      <c r="B2396" t="n">
        <v>17.8862</v>
      </c>
      <c r="C2396" t="n">
        <v>28.1065</v>
      </c>
    </row>
    <row r="2397">
      <c r="A2397" t="inlineStr">
        <is>
          <t>2025-03-27</t>
        </is>
      </c>
      <c r="B2397" t="n">
        <v>17.8801</v>
      </c>
      <c r="C2397" t="n">
        <v>28.0954</v>
      </c>
    </row>
    <row r="2398">
      <c r="A2398" t="inlineStr">
        <is>
          <t>2025-03-31</t>
        </is>
      </c>
      <c r="B2398" t="n">
        <v>17.4315</v>
      </c>
      <c r="C2398" t="n">
        <v>27.3896</v>
      </c>
    </row>
    <row r="2399">
      <c r="A2399" t="inlineStr">
        <is>
          <t>2025-04-01</t>
        </is>
      </c>
      <c r="B2399" t="n">
        <v>17.6157</v>
      </c>
      <c r="C2399" t="n">
        <v>27.6758</v>
      </c>
    </row>
    <row r="2400">
      <c r="A2400" t="inlineStr">
        <is>
          <t>2025-04-02</t>
        </is>
      </c>
      <c r="B2400" t="n">
        <v>17.7023</v>
      </c>
      <c r="C2400" t="n">
        <v>27.8149</v>
      </c>
    </row>
    <row r="2401">
      <c r="A2401" t="inlineStr">
        <is>
          <t>2025-04-03</t>
        </is>
      </c>
      <c r="B2401" t="n">
        <v>17.5104</v>
      </c>
      <c r="C2401" t="n">
        <v>27.5009</v>
      </c>
    </row>
    <row r="2402">
      <c r="A2402" t="inlineStr">
        <is>
          <t>2025-04-04</t>
        </is>
      </c>
      <c r="B2402" t="n">
        <v>16.8861</v>
      </c>
      <c r="C2402" t="n">
        <v>26.5178</v>
      </c>
    </row>
    <row r="2403">
      <c r="A2403" t="inlineStr">
        <is>
          <t>2025-04-08</t>
        </is>
      </c>
      <c r="B2403" t="n">
        <v>16.1493</v>
      </c>
      <c r="C2403" t="n">
        <v>25.3367</v>
      </c>
    </row>
    <row r="2404">
      <c r="A2404" t="inlineStr">
        <is>
          <t>2025-04-09</t>
        </is>
      </c>
      <c r="B2404" t="n">
        <v>16.437</v>
      </c>
      <c r="C2404" t="n">
        <v>25.7946</v>
      </c>
    </row>
    <row r="2405">
      <c r="A2405" t="inlineStr">
        <is>
          <t>2025-04-10</t>
        </is>
      </c>
      <c r="B2405" t="n">
        <v>17.2218</v>
      </c>
      <c r="C2405" t="n">
        <v>27.041</v>
      </c>
    </row>
    <row r="2406">
      <c r="A2406" t="inlineStr">
        <is>
          <t>2025-04-11</t>
        </is>
      </c>
      <c r="B2406" t="n">
        <v>17.159</v>
      </c>
      <c r="C2406" t="n">
        <v>26.9339</v>
      </c>
    </row>
    <row r="2407">
      <c r="A2407" t="inlineStr">
        <is>
          <t>2025-04-16</t>
        </is>
      </c>
      <c r="B2407" t="n">
        <v>17.3185</v>
      </c>
      <c r="C2407" t="n">
        <v>27.2036</v>
      </c>
    </row>
    <row r="2408">
      <c r="A2408" t="inlineStr">
        <is>
          <t>2025-04-17</t>
        </is>
      </c>
      <c r="B2408" t="n">
        <v>17.3323</v>
      </c>
      <c r="C2408" t="n">
        <v>27.2244</v>
      </c>
    </row>
    <row r="2409">
      <c r="A2409" t="inlineStr">
        <is>
          <t>2025-04-18</t>
        </is>
      </c>
      <c r="B2409" t="n">
        <v>17.4809</v>
      </c>
      <c r="C2409" t="n">
        <v>27.4557</v>
      </c>
    </row>
    <row r="2410">
      <c r="A2410" t="inlineStr">
        <is>
          <t>2025-04-21</t>
        </is>
      </c>
      <c r="B2410" t="n">
        <v>17.2097</v>
      </c>
      <c r="C2410" t="n">
        <v>27.0282</v>
      </c>
    </row>
    <row r="2411">
      <c r="A2411" t="inlineStr">
        <is>
          <t>2025-04-22</t>
        </is>
      </c>
      <c r="B2411" t="n">
        <v>17.3565</v>
      </c>
      <c r="C2411" t="n">
        <v>27.2618</v>
      </c>
    </row>
    <row r="2412">
      <c r="A2412" t="inlineStr">
        <is>
          <t>2025-04-23</t>
        </is>
      </c>
      <c r="B2412" t="n">
        <v>17.5723</v>
      </c>
      <c r="C2412" t="n">
        <v>27.5911</v>
      </c>
    </row>
    <row r="2413">
      <c r="A2413" t="inlineStr">
        <is>
          <t>2025-04-24</t>
        </is>
      </c>
      <c r="B2413" t="n">
        <v>17.4309</v>
      </c>
      <c r="C2413" t="n">
        <v>27.3702</v>
      </c>
    </row>
    <row r="2414">
      <c r="A2414" t="inlineStr">
        <is>
          <t>2025-04-25</t>
        </is>
      </c>
      <c r="B2414" t="n">
        <v>17.6598</v>
      </c>
      <c r="C2414" t="n">
        <v>27.7268</v>
      </c>
    </row>
    <row r="2415">
      <c r="A2415" t="inlineStr">
        <is>
          <t>2025-04-28</t>
        </is>
      </c>
      <c r="B2415" t="n">
        <v>17.6993</v>
      </c>
      <c r="C2415" t="n">
        <v>27.7933</v>
      </c>
    </row>
    <row r="2416">
      <c r="A2416" t="inlineStr">
        <is>
          <t>2025-04-29</t>
        </is>
      </c>
      <c r="B2416" t="n">
        <v>17.9565</v>
      </c>
      <c r="C2416" t="n">
        <v>28.1993</v>
      </c>
    </row>
    <row r="2417">
      <c r="A2417" t="inlineStr">
        <is>
          <t>2025-04-30</t>
        </is>
      </c>
      <c r="B2417" t="n">
        <v>18.4731</v>
      </c>
      <c r="C2417" t="n">
        <v>28.9947</v>
      </c>
    </row>
    <row r="2418">
      <c r="A2418" t="inlineStr">
        <is>
          <t>2025-05-02</t>
        </is>
      </c>
      <c r="B2418" t="n">
        <v>18.4979</v>
      </c>
      <c r="C2418" t="n">
        <v>29.027</v>
      </c>
    </row>
    <row r="2419">
      <c r="A2419" t="inlineStr">
        <is>
          <t>2025-05-06</t>
        </is>
      </c>
      <c r="B2419" t="n">
        <v>18.3528</v>
      </c>
      <c r="C2419" t="n">
        <v>28.7914</v>
      </c>
    </row>
    <row r="2420">
      <c r="A2420" t="inlineStr">
        <is>
          <t>2025-05-07</t>
        </is>
      </c>
      <c r="B2420" t="n">
        <v>18.9415</v>
      </c>
      <c r="C2420" t="n">
        <v>29.7177</v>
      </c>
    </row>
    <row r="2421">
      <c r="A2421" t="inlineStr">
        <is>
          <t>2025-05-08</t>
        </is>
      </c>
      <c r="B2421" t="n">
        <v>18.7162</v>
      </c>
      <c r="C2421" t="n">
        <v>29.3692</v>
      </c>
    </row>
    <row r="2422">
      <c r="A2422" t="inlineStr">
        <is>
          <t>2025-05-09</t>
        </is>
      </c>
      <c r="B2422" t="n">
        <v>18.8523</v>
      </c>
      <c r="C2422" t="n">
        <v>29.5846</v>
      </c>
    </row>
    <row r="2423">
      <c r="A2423" t="inlineStr">
        <is>
          <t>2025-05-13</t>
        </is>
      </c>
      <c r="B2423" t="n">
        <v>18.8655</v>
      </c>
      <c r="C2423" t="n">
        <v>29.5979</v>
      </c>
    </row>
    <row r="2424">
      <c r="A2424" t="inlineStr">
        <is>
          <t>2025-05-14</t>
        </is>
      </c>
      <c r="B2424" t="n">
        <v>18.9576</v>
      </c>
      <c r="C2424" t="n">
        <v>29.7389</v>
      </c>
    </row>
    <row r="2425">
      <c r="A2425" t="inlineStr">
        <is>
          <t>2025-05-15</t>
        </is>
      </c>
      <c r="B2425" t="n">
        <v>18.6017</v>
      </c>
      <c r="C2425" t="n">
        <v>29.1731</v>
      </c>
    </row>
    <row r="2426">
      <c r="A2426" t="inlineStr">
        <is>
          <t>2025-05-16</t>
        </is>
      </c>
      <c r="B2426" t="n">
        <v>17.9362</v>
      </c>
      <c r="C2426" t="n">
        <v>29.2079</v>
      </c>
    </row>
    <row r="2427">
      <c r="A2427" t="inlineStr">
        <is>
          <t>2025-05-19</t>
        </is>
      </c>
      <c r="C2427" t="n">
        <v>28.9554</v>
      </c>
    </row>
    <row r="2428">
      <c r="A2428" t="inlineStr">
        <is>
          <t>2025-05-20</t>
        </is>
      </c>
      <c r="B2428" t="n">
        <v>17.8265</v>
      </c>
      <c r="C2428" t="n">
        <v>29.0503</v>
      </c>
    </row>
    <row r="2429">
      <c r="A2429" t="inlineStr">
        <is>
          <t>2025-05-21</t>
        </is>
      </c>
      <c r="B2429" t="n">
        <v>17.7068</v>
      </c>
      <c r="C2429" t="n">
        <v>28.8526</v>
      </c>
    </row>
    <row r="2430">
      <c r="A2430" t="inlineStr">
        <is>
          <t>2025-05-22</t>
        </is>
      </c>
      <c r="B2430" t="n">
        <v>17.6409</v>
      </c>
      <c r="C2430" t="n">
        <v>28.7482</v>
      </c>
    </row>
    <row r="2431">
      <c r="A2431" t="inlineStr">
        <is>
          <t>2025-05-23</t>
        </is>
      </c>
      <c r="B2431" t="n">
        <v>17.6829</v>
      </c>
      <c r="C2431" t="n">
        <v>28.8122</v>
      </c>
    </row>
    <row r="2432">
      <c r="A2432" t="inlineStr">
        <is>
          <t>2025-05-26</t>
        </is>
      </c>
      <c r="B2432" t="n">
        <v>17.7287</v>
      </c>
      <c r="C2432" t="n">
        <v>28.8755</v>
      </c>
    </row>
    <row r="2433">
      <c r="A2433" t="inlineStr">
        <is>
          <t>2025-05-27</t>
        </is>
      </c>
      <c r="B2433" t="n">
        <v>17.4589</v>
      </c>
      <c r="C2433" t="n">
        <v>28.4377</v>
      </c>
    </row>
    <row r="2434">
      <c r="A2434" t="inlineStr">
        <is>
          <t>2025-05-28</t>
        </is>
      </c>
      <c r="B2434" t="n">
        <v>17.3969</v>
      </c>
      <c r="C2434" t="n">
        <v>28.3325</v>
      </c>
    </row>
    <row r="2435">
      <c r="A2435" t="inlineStr">
        <is>
          <t>2025-05-29</t>
        </is>
      </c>
      <c r="B2435" t="n">
        <v>17.445</v>
      </c>
      <c r="C2435" t="n">
        <v>28.414</v>
      </c>
    </row>
    <row r="2436">
      <c r="A2436" t="inlineStr">
        <is>
          <t>2025-05-30</t>
        </is>
      </c>
      <c r="B2436" t="n">
        <v>17.1682</v>
      </c>
      <c r="C2436" t="n">
        <v>27.9644</v>
      </c>
    </row>
    <row r="2437">
      <c r="A2437" t="inlineStr">
        <is>
          <t>2025-06-04</t>
        </is>
      </c>
      <c r="B2437" t="n">
        <v>16.8994</v>
      </c>
      <c r="C2437" t="n">
        <v>27.5259</v>
      </c>
    </row>
    <row r="2438">
      <c r="A2438" t="inlineStr">
        <is>
          <t>2025-06-05</t>
        </is>
      </c>
      <c r="B2438" t="n">
        <v>17.0593</v>
      </c>
      <c r="C2438" t="n">
        <v>27.7843</v>
      </c>
    </row>
    <row r="2439">
      <c r="A2439" t="inlineStr">
        <is>
          <t>2025-06-06</t>
        </is>
      </c>
      <c r="B2439" t="n">
        <v>16.9731</v>
      </c>
      <c r="C2439" t="n">
        <v>27.6394</v>
      </c>
    </row>
    <row r="2440">
      <c r="A2440" t="inlineStr">
        <is>
          <t>2025-06-09</t>
        </is>
      </c>
      <c r="B2440" t="n">
        <v>16.939</v>
      </c>
      <c r="C2440" t="n">
        <v>27.5816</v>
      </c>
    </row>
    <row r="2441">
      <c r="A2441" t="inlineStr">
        <is>
          <t>2025-06-10</t>
        </is>
      </c>
      <c r="B2441" t="n">
        <v>17.0146</v>
      </c>
      <c r="C2441" t="n">
        <v>27.7049</v>
      </c>
    </row>
    <row r="2442">
      <c r="A2442" t="inlineStr">
        <is>
          <t>2025-06-11</t>
        </is>
      </c>
      <c r="B2442" t="n">
        <v>17.0788</v>
      </c>
      <c r="C2442" t="n">
        <v>27.8038</v>
      </c>
    </row>
    <row r="2443">
      <c r="A2443" t="inlineStr">
        <is>
          <t>2025-06-12</t>
        </is>
      </c>
      <c r="B2443" t="n">
        <v>16.8689</v>
      </c>
      <c r="C2443" t="n">
        <v>27.4631</v>
      </c>
    </row>
    <row r="2444">
      <c r="A2444" t="inlineStr">
        <is>
          <t>2025-06-13</t>
        </is>
      </c>
      <c r="B2444" t="n">
        <v>16.8031</v>
      </c>
      <c r="C2444" t="n">
        <v>27.3497</v>
      </c>
    </row>
    <row r="2445">
      <c r="A2445" t="inlineStr">
        <is>
          <t>2025-06-16</t>
        </is>
      </c>
      <c r="B2445" t="n">
        <v>16.6989</v>
      </c>
      <c r="C2445" t="n">
        <v>27.1883</v>
      </c>
    </row>
    <row r="2446">
      <c r="A2446" t="inlineStr">
        <is>
          <t>2025-06-17</t>
        </is>
      </c>
      <c r="B2446" t="n">
        <v>16.6612</v>
      </c>
      <c r="C2446" t="n">
        <v>27.1247</v>
      </c>
    </row>
    <row r="2447">
      <c r="A2447" t="inlineStr">
        <is>
          <t>2025-06-18</t>
        </is>
      </c>
      <c r="B2447" t="n">
        <v>16.3445</v>
      </c>
      <c r="C2447" t="n">
        <v>26.5935</v>
      </c>
    </row>
    <row r="2448">
      <c r="A2448" t="inlineStr">
        <is>
          <t>2025-06-19</t>
        </is>
      </c>
      <c r="B2448" t="n">
        <v>15.9429</v>
      </c>
      <c r="C2448" t="n">
        <v>25.9341</v>
      </c>
    </row>
    <row r="2449">
      <c r="A2449" t="inlineStr">
        <is>
          <t>2025-06-20</t>
        </is>
      </c>
      <c r="B2449" t="n">
        <v>15.9511</v>
      </c>
      <c r="C2449" t="n">
        <v>25.9466</v>
      </c>
    </row>
    <row r="2450">
      <c r="A2450" t="inlineStr">
        <is>
          <t>2025-06-23</t>
        </is>
      </c>
      <c r="B2450" t="n">
        <v>15.9353</v>
      </c>
      <c r="C2450" t="n">
        <v>25.9257</v>
      </c>
    </row>
    <row r="2451">
      <c r="A2451" t="inlineStr">
        <is>
          <t>2025-06-24</t>
        </is>
      </c>
      <c r="B2451" t="n">
        <v>16.5686</v>
      </c>
      <c r="C2451" t="n">
        <v>26.9647</v>
      </c>
    </row>
    <row r="2452">
      <c r="A2452" t="inlineStr">
        <is>
          <t>2025-06-25</t>
        </is>
      </c>
      <c r="B2452" t="n">
        <v>16.6861</v>
      </c>
      <c r="C2452" t="n">
        <v>27.1534</v>
      </c>
    </row>
    <row r="2453">
      <c r="A2453" t="inlineStr">
        <is>
          <t>2025-06-26</t>
        </is>
      </c>
      <c r="B2453" t="n">
        <v>16.617</v>
      </c>
      <c r="C2453" t="n">
        <v>27.0482</v>
      </c>
    </row>
    <row r="2454">
      <c r="A2454" t="inlineStr">
        <is>
          <t>2025-06-27</t>
        </is>
      </c>
      <c r="B2454" t="n">
        <v>16.1902</v>
      </c>
      <c r="C2454" t="n">
        <v>26.3488</v>
      </c>
    </row>
    <row r="2455">
      <c r="A2455" t="inlineStr">
        <is>
          <t>2025-06-30</t>
        </is>
      </c>
      <c r="B2455" t="n">
        <v>16.2999</v>
      </c>
      <c r="C2455" t="n">
        <v>26.5123</v>
      </c>
    </row>
    <row r="2456">
      <c r="A2456" t="inlineStr">
        <is>
          <t>2025-07-01</t>
        </is>
      </c>
      <c r="B2456" t="n">
        <v>16.6481</v>
      </c>
      <c r="C2456" t="n">
        <v>27.0779</v>
      </c>
    </row>
    <row r="2457">
      <c r="A2457" t="inlineStr">
        <is>
          <t>2025-07-02</t>
        </is>
      </c>
      <c r="B2457" t="n">
        <v>16.7089</v>
      </c>
      <c r="C2457" t="n">
        <v>27.1767</v>
      </c>
    </row>
    <row r="2458">
      <c r="A2458" t="inlineStr">
        <is>
          <t>2025-07-03</t>
        </is>
      </c>
      <c r="B2458" t="n">
        <v>16.8437</v>
      </c>
      <c r="C2458" t="n">
        <v>27.3952</v>
      </c>
    </row>
    <row r="2459">
      <c r="A2459" t="inlineStr">
        <is>
          <t>2025-07-04</t>
        </is>
      </c>
      <c r="B2459" t="n">
        <v>16.7061</v>
      </c>
      <c r="C2459" t="n">
        <v>27.1704</v>
      </c>
    </row>
    <row r="2460">
      <c r="A2460" t="inlineStr">
        <is>
          <t>2025-07-07</t>
        </is>
      </c>
      <c r="B2460" t="n">
        <v>16.7754</v>
      </c>
      <c r="C2460" t="n">
        <v>27.2837</v>
      </c>
    </row>
    <row r="2461">
      <c r="A2461" t="inlineStr">
        <is>
          <t>2025-07-08</t>
        </is>
      </c>
      <c r="B2461" t="n">
        <v>16.6565</v>
      </c>
      <c r="C2461" t="n">
        <v>27.0913</v>
      </c>
    </row>
    <row r="2462">
      <c r="A2462" t="inlineStr">
        <is>
          <t>2025-07-09</t>
        </is>
      </c>
      <c r="B2462" t="n">
        <v>16.585</v>
      </c>
      <c r="C2462" t="n">
        <v>26.9738</v>
      </c>
    </row>
    <row r="2463">
      <c r="A2463" t="inlineStr">
        <is>
          <t>2025-07-11</t>
        </is>
      </c>
      <c r="B2463" t="n">
        <v>16.748</v>
      </c>
      <c r="C2463" t="n">
        <v>27.2376</v>
      </c>
    </row>
    <row r="2464">
      <c r="A2464" t="inlineStr">
        <is>
          <t>2025-07-14</t>
        </is>
      </c>
      <c r="B2464" t="n">
        <v>17.1125</v>
      </c>
      <c r="C2464" t="n">
        <v>27.83</v>
      </c>
    </row>
    <row r="2465">
      <c r="A2465" t="inlineStr">
        <is>
          <t>2025-07-15</t>
        </is>
      </c>
      <c r="B2465" t="n">
        <v>17.3712</v>
      </c>
      <c r="C2465" t="n">
        <v>28.2489</v>
      </c>
    </row>
    <row r="2466">
      <c r="A2466" t="inlineStr">
        <is>
          <t>2025-07-16</t>
        </is>
      </c>
      <c r="B2466" t="n">
        <v>17.3254</v>
      </c>
      <c r="C2466" t="n">
        <v>28.1742</v>
      </c>
    </row>
    <row r="2467">
      <c r="A2467" t="inlineStr">
        <is>
          <t>2025-07-17</t>
        </is>
      </c>
      <c r="B2467" t="n">
        <v>18.0074</v>
      </c>
      <c r="C2467" t="n">
        <v>29.2855</v>
      </c>
    </row>
    <row r="2468">
      <c r="A2468" t="inlineStr">
        <is>
          <t>2025-07-18</t>
        </is>
      </c>
      <c r="B2468" t="n">
        <v>18.1575</v>
      </c>
      <c r="C2468" t="n">
        <v>29.5315</v>
      </c>
    </row>
    <row r="2469">
      <c r="A2469" t="inlineStr">
        <is>
          <t>2025-07-21</t>
        </is>
      </c>
      <c r="B2469" t="n">
        <v>18.1697</v>
      </c>
      <c r="C2469" t="n">
        <v>29.5512</v>
      </c>
    </row>
    <row r="2470">
      <c r="A2470" t="inlineStr">
        <is>
          <t>2025-07-22</t>
        </is>
      </c>
      <c r="B2470" t="n">
        <v>17.9234</v>
      </c>
      <c r="C2470" t="n">
        <v>29.1525</v>
      </c>
    </row>
    <row r="2471">
      <c r="A2471" t="inlineStr">
        <is>
          <t>2025-07-23</t>
        </is>
      </c>
      <c r="B2471" t="n">
        <v>18.3647</v>
      </c>
      <c r="C2471" t="n">
        <v>29.8683</v>
      </c>
    </row>
    <row r="2472">
      <c r="A2472" t="inlineStr">
        <is>
          <t>2025-07-24</t>
        </is>
      </c>
      <c r="B2472" t="n">
        <v>18.2615</v>
      </c>
      <c r="C2472" t="n">
        <v>29.7005</v>
      </c>
    </row>
    <row r="2473">
      <c r="A2473" t="inlineStr">
        <is>
          <t>2025-07-25</t>
        </is>
      </c>
      <c r="B2473" t="n">
        <v>18.3531</v>
      </c>
      <c r="C2473" t="n">
        <v>29.8517</v>
      </c>
    </row>
    <row r="2474">
      <c r="A2474" t="inlineStr">
        <is>
          <t>2025-07-29</t>
        </is>
      </c>
      <c r="B2474" t="n">
        <v>18.6322</v>
      </c>
      <c r="C2474" t="n">
        <v>30.2976</v>
      </c>
    </row>
    <row r="2475">
      <c r="A2475" t="inlineStr">
        <is>
          <t>2025-07-30</t>
        </is>
      </c>
      <c r="B2475" t="n">
        <v>18.7524</v>
      </c>
      <c r="C2475" t="n">
        <v>30.4932</v>
      </c>
    </row>
    <row r="2476">
      <c r="A2476" t="inlineStr">
        <is>
          <t>2025-07-31</t>
        </is>
      </c>
      <c r="B2476" t="n">
        <v>18.7384</v>
      </c>
      <c r="C2476" t="n">
        <v>30.4708</v>
      </c>
    </row>
    <row r="2477">
      <c r="A2477" t="inlineStr">
        <is>
          <t>2025-08-01</t>
        </is>
      </c>
      <c r="B2477" t="n">
        <v>18.3179</v>
      </c>
      <c r="C2477" t="n">
        <v>29.7881</v>
      </c>
    </row>
    <row r="2478">
      <c r="A2478" t="inlineStr">
        <is>
          <t>2025-08-04</t>
        </is>
      </c>
      <c r="B2478" t="n">
        <v>18.5455</v>
      </c>
      <c r="C2478" t="n">
        <v>30.1602</v>
      </c>
    </row>
    <row r="2479">
      <c r="A2479" t="inlineStr">
        <is>
          <t>2025-08-05</t>
        </is>
      </c>
      <c r="B2479" t="n">
        <v>18.7561</v>
      </c>
      <c r="C2479" t="n">
        <v>30.5008</v>
      </c>
    </row>
    <row r="2480">
      <c r="A2480" t="inlineStr">
        <is>
          <t>2025-08-06</t>
        </is>
      </c>
      <c r="B2480" t="n">
        <v>18.9379</v>
      </c>
      <c r="C2480" t="n">
        <v>30.7969</v>
      </c>
    </row>
    <row r="2481">
      <c r="A2481" t="inlineStr">
        <is>
          <t>2025-08-07</t>
        </is>
      </c>
      <c r="B2481" t="n">
        <v>18.9727</v>
      </c>
      <c r="C2481" t="n">
        <v>30.8524</v>
      </c>
    </row>
    <row r="2482">
      <c r="A2482" t="inlineStr">
        <is>
          <t>2025-08-08</t>
        </is>
      </c>
      <c r="B2482" t="n">
        <v>18.8411</v>
      </c>
      <c r="C2482" t="n">
        <v>30.6379</v>
      </c>
    </row>
    <row r="2483">
      <c r="A2483" t="inlineStr">
        <is>
          <t>2025-08-13</t>
        </is>
      </c>
      <c r="B2483" t="n">
        <v>19.1188</v>
      </c>
      <c r="C2483" t="n">
        <v>31.0933</v>
      </c>
    </row>
    <row r="2484">
      <c r="A2484" t="inlineStr">
        <is>
          <t>2025-08-14</t>
        </is>
      </c>
      <c r="B2484" t="n">
        <v>18.9009</v>
      </c>
      <c r="C2484" t="n">
        <v>30.7385</v>
      </c>
    </row>
    <row r="2485">
      <c r="A2485" t="inlineStr">
        <is>
          <t>2025-08-15</t>
        </is>
      </c>
      <c r="B2485" t="n">
        <v>18.8286</v>
      </c>
      <c r="C2485" t="n">
        <v>30.6216</v>
      </c>
    </row>
    <row r="2486">
      <c r="A2486" t="inlineStr">
        <is>
          <t>2025-08-18</t>
        </is>
      </c>
      <c r="B2486" t="n">
        <v>18.6229</v>
      </c>
      <c r="C2486" t="n">
        <v>30.2857</v>
      </c>
    </row>
    <row r="2487">
      <c r="A2487" t="inlineStr">
        <is>
          <t>2025-08-19</t>
        </is>
      </c>
      <c r="B2487" t="n">
        <v>18.5511</v>
      </c>
      <c r="C2487" t="n">
        <v>30.1683</v>
      </c>
    </row>
    <row r="2488">
      <c r="A2488" t="inlineStr">
        <is>
          <t>2025-08-20</t>
        </is>
      </c>
      <c r="B2488" t="n">
        <v>18.7967</v>
      </c>
      <c r="C2488" t="n">
        <v>30.5637</v>
      </c>
    </row>
    <row r="2489">
      <c r="A2489" t="inlineStr">
        <is>
          <t>2025-08-21</t>
        </is>
      </c>
      <c r="B2489" t="n">
        <v>18.8103</v>
      </c>
      <c r="C2489" t="n">
        <v>30.5853</v>
      </c>
    </row>
    <row r="2490">
      <c r="A2490" t="inlineStr">
        <is>
          <t>2025-08-22</t>
        </is>
      </c>
      <c r="B2490" t="n">
        <v>18.9132</v>
      </c>
      <c r="C2490" t="n">
        <v>30.755</v>
      </c>
    </row>
    <row r="2491">
      <c r="A2491" t="inlineStr">
        <is>
          <t>2025-08-25</t>
        </is>
      </c>
      <c r="B2491" t="n">
        <v>19.0575</v>
      </c>
      <c r="C2491" t="n">
        <v>30.9885</v>
      </c>
    </row>
    <row r="2492">
      <c r="A2492" t="inlineStr">
        <is>
          <t>2025-08-26</t>
        </is>
      </c>
      <c r="B2492" t="n">
        <v>18.8959</v>
      </c>
      <c r="C2492" t="n">
        <v>30.7247</v>
      </c>
    </row>
    <row r="2493">
      <c r="A2493" t="inlineStr">
        <is>
          <t>2025-08-27</t>
        </is>
      </c>
      <c r="B2493" t="n">
        <v>18.864</v>
      </c>
      <c r="C2493" t="n">
        <v>30.6747</v>
      </c>
    </row>
    <row r="2494">
      <c r="A2494" t="inlineStr">
        <is>
          <t>2025-08-28</t>
        </is>
      </c>
      <c r="B2494" t="n">
        <v>18.8754</v>
      </c>
      <c r="C2494" t="n">
        <v>30.691</v>
      </c>
    </row>
    <row r="2495">
      <c r="A2495" t="inlineStr">
        <is>
          <t>2025-08-29</t>
        </is>
      </c>
      <c r="B2495" t="n">
        <v>18.6744</v>
      </c>
      <c r="C2495" t="n">
        <v>30.3653</v>
      </c>
    </row>
    <row r="2496">
      <c r="A2496" t="inlineStr">
        <is>
          <t>2025-09-01</t>
        </is>
      </c>
      <c r="B2496" t="n">
        <v>18.8134</v>
      </c>
      <c r="C2496" t="n">
        <v>30.5887</v>
      </c>
    </row>
    <row r="2497">
      <c r="A2497" t="inlineStr">
        <is>
          <t>2025-09-02</t>
        </is>
      </c>
      <c r="B2497" t="n">
        <v>18.8938</v>
      </c>
      <c r="C2497" t="n">
        <v>30.7163</v>
      </c>
    </row>
    <row r="2498">
      <c r="A2498" t="inlineStr">
        <is>
          <t>2025-09-03</t>
        </is>
      </c>
      <c r="B2498" t="n">
        <v>19.0438</v>
      </c>
      <c r="C2498" t="n">
        <v>30.9603</v>
      </c>
    </row>
    <row r="2499">
      <c r="A2499" t="inlineStr">
        <is>
          <t>2025-09-04</t>
        </is>
      </c>
      <c r="B2499" t="n">
        <v>18.8714</v>
      </c>
      <c r="C2499" t="n">
        <v>30.679</v>
      </c>
    </row>
    <row r="2500">
      <c r="A2500" t="inlineStr">
        <is>
          <t>2025-09-05</t>
        </is>
      </c>
      <c r="B2500" t="n">
        <v>19.0331</v>
      </c>
      <c r="C2500" t="n">
        <v>30.9416</v>
      </c>
    </row>
    <row r="2501">
      <c r="A2501" t="inlineStr">
        <is>
          <t>2025-09-08</t>
        </is>
      </c>
      <c r="B2501" t="n">
        <v>18.9852</v>
      </c>
      <c r="C2501" t="n">
        <v>30.8615</v>
      </c>
    </row>
    <row r="2502">
      <c r="A2502" t="inlineStr">
        <is>
          <t>2025-09-09</t>
        </is>
      </c>
      <c r="B2502" t="n">
        <v>19.1367</v>
      </c>
      <c r="C2502" t="n">
        <v>31.1067</v>
      </c>
    </row>
    <row r="2503">
      <c r="A2503" t="inlineStr">
        <is>
          <t>2025-09-10</t>
        </is>
      </c>
      <c r="B2503" t="n">
        <v>19.1559</v>
      </c>
      <c r="C2503" t="n">
        <v>31.1393</v>
      </c>
    </row>
    <row r="2504">
      <c r="A2504" t="inlineStr">
        <is>
          <t>2025-09-11</t>
        </is>
      </c>
      <c r="B2504" t="n">
        <v>19.331</v>
      </c>
      <c r="C2504" t="n">
        <v>31.4274</v>
      </c>
    </row>
    <row r="2505">
      <c r="A2505" t="inlineStr">
        <is>
          <t>2025-09-12</t>
        </is>
      </c>
      <c r="B2505" t="n">
        <v>19.4023</v>
      </c>
      <c r="C2505" t="n">
        <v>31.544</v>
      </c>
    </row>
    <row r="2506">
      <c r="A2506" t="inlineStr">
        <is>
          <t>2025-09-15</t>
        </is>
      </c>
      <c r="B2506" t="n">
        <v>19.4756</v>
      </c>
      <c r="C2506" t="n">
        <v>31.6646</v>
      </c>
    </row>
    <row r="2507">
      <c r="A2507" t="inlineStr">
        <is>
          <t>2025-09-16</t>
        </is>
      </c>
      <c r="B2507" t="n">
        <v>19.5785</v>
      </c>
      <c r="C2507" t="n">
        <v>31.8311</v>
      </c>
    </row>
    <row r="2508">
      <c r="A2508" t="inlineStr">
        <is>
          <t>2025-09-17</t>
        </is>
      </c>
      <c r="B2508" t="n">
        <v>19.5637</v>
      </c>
      <c r="C2508" t="n">
        <v>31.8084</v>
      </c>
    </row>
    <row r="2509">
      <c r="A2509" t="inlineStr">
        <is>
          <t>2025-09-18</t>
        </is>
      </c>
      <c r="B2509" t="n">
        <v>19.4429</v>
      </c>
      <c r="C2509" t="n">
        <v>31.6145</v>
      </c>
    </row>
    <row r="2510">
      <c r="A2510" t="inlineStr">
        <is>
          <t>2025-09-19</t>
        </is>
      </c>
      <c r="B2510" t="n">
        <v>19.3534</v>
      </c>
      <c r="C2510" t="n">
        <v>31.4679</v>
      </c>
    </row>
    <row r="2511">
      <c r="A2511" t="inlineStr">
        <is>
          <t>2025-09-22</t>
        </is>
      </c>
      <c r="B2511" t="n">
        <v>19.2253</v>
      </c>
      <c r="C2511" t="n">
        <v>31.2612</v>
      </c>
    </row>
    <row r="2512">
      <c r="A2512" t="inlineStr">
        <is>
          <t>2025-09-23</t>
        </is>
      </c>
      <c r="B2512" t="n">
        <v>19.1075</v>
      </c>
      <c r="C2512" t="n">
        <v>31.0767</v>
      </c>
    </row>
    <row r="2513">
      <c r="A2513" t="inlineStr">
        <is>
          <t>2025-09-24</t>
        </is>
      </c>
      <c r="B2513" t="n">
        <v>19.1399</v>
      </c>
      <c r="C2513" t="n">
        <v>31.1254</v>
      </c>
    </row>
    <row r="2514">
      <c r="A2514" t="inlineStr">
        <is>
          <t>2025-09-25</t>
        </is>
      </c>
      <c r="B2514" t="n">
        <v>19.3067</v>
      </c>
      <c r="C2514" t="n">
        <v>31.3952</v>
      </c>
    </row>
    <row r="2515">
      <c r="A2515" t="inlineStr">
        <is>
          <t>2025-09-26</t>
        </is>
      </c>
      <c r="B2515" t="n">
        <v>19.1379</v>
      </c>
      <c r="C2515" t="n">
        <v>31.1175</v>
      </c>
    </row>
    <row r="2516">
      <c r="A2516" t="inlineStr">
        <is>
          <t>2025-09-29</t>
        </is>
      </c>
      <c r="B2516" t="n">
        <v>19.337</v>
      </c>
      <c r="C2516" t="n">
        <v>31.4421</v>
      </c>
    </row>
    <row r="2517">
      <c r="A2517" t="inlineStr">
        <is>
          <t>2025-09-30</t>
        </is>
      </c>
      <c r="B2517" t="n">
        <v>19.1296</v>
      </c>
      <c r="C2517" t="n">
        <v>31.1122</v>
      </c>
    </row>
    <row r="2518">
      <c r="A2518" t="inlineStr">
        <is>
          <t>2025-10-01</t>
        </is>
      </c>
      <c r="B2518" t="n">
        <v>19.1481</v>
      </c>
      <c r="C2518" t="n">
        <v>31.142</v>
      </c>
    </row>
    <row r="2519">
      <c r="A2519" t="inlineStr">
        <is>
          <t>2025-10-02</t>
        </is>
      </c>
      <c r="B2519" t="n">
        <v>19.3288</v>
      </c>
      <c r="C2519" t="n">
        <v>31.4342</v>
      </c>
    </row>
    <row r="2520">
      <c r="A2520" t="inlineStr">
        <is>
          <t>2025-10-03</t>
        </is>
      </c>
      <c r="B2520" t="n">
        <v>19.4212</v>
      </c>
      <c r="C2520" t="n">
        <v>31.5851</v>
      </c>
    </row>
    <row r="2521">
      <c r="A2521" t="inlineStr">
        <is>
          <t>2025-10-06</t>
        </is>
      </c>
      <c r="B2521" t="n">
        <v>19.2843</v>
      </c>
      <c r="C2521" t="n">
        <v>31.3625</v>
      </c>
    </row>
    <row r="2522">
      <c r="A2522" t="inlineStr">
        <is>
          <t>2025-10-07</t>
        </is>
      </c>
      <c r="B2522" t="n">
        <v>19.5595</v>
      </c>
      <c r="C2522" t="n">
        <v>31.8062</v>
      </c>
    </row>
    <row r="2523">
      <c r="A2523" t="inlineStr">
        <is>
          <t>2025-10-08</t>
        </is>
      </c>
      <c r="B2523" t="n">
        <v>19.5543</v>
      </c>
      <c r="C2523" t="n">
        <v>31.7969</v>
      </c>
    </row>
    <row r="2524">
      <c r="A2524" t="inlineStr">
        <is>
          <t>2025-10-09</t>
        </is>
      </c>
      <c r="B2524" t="n">
        <v>19.7484</v>
      </c>
      <c r="C2524" t="n">
        <v>32.1095</v>
      </c>
    </row>
    <row r="2525">
      <c r="A2525" t="inlineStr">
        <is>
          <t>2025-10-10</t>
        </is>
      </c>
      <c r="B2525" t="n">
        <v>19.3915</v>
      </c>
      <c r="C2525" t="n">
        <v>31.5329</v>
      </c>
    </row>
    <row r="2526">
      <c r="A2526" t="inlineStr">
        <is>
          <t>2025-10-14</t>
        </is>
      </c>
      <c r="B2526" t="n">
        <v>19.081</v>
      </c>
      <c r="C2526" t="n">
        <v>31.0302</v>
      </c>
    </row>
    <row r="2527">
      <c r="A2527" t="inlineStr">
        <is>
          <t>2025-10-15</t>
        </is>
      </c>
      <c r="B2527" t="n">
        <v>19.3925</v>
      </c>
      <c r="C2527" t="n">
        <v>31.5358</v>
      </c>
    </row>
    <row r="2528">
      <c r="A2528" t="inlineStr">
        <is>
          <t>2025-10-16</t>
        </is>
      </c>
      <c r="B2528" t="n">
        <v>19.4433</v>
      </c>
      <c r="C2528" t="n">
        <v>31.6154</v>
      </c>
    </row>
    <row r="2529">
      <c r="A2529" t="inlineStr">
        <is>
          <t>2025-10-17</t>
        </is>
      </c>
      <c r="B2529" t="n">
        <v>19.2131</v>
      </c>
      <c r="C2529" t="n">
        <v>31.2432</v>
      </c>
    </row>
    <row r="2530">
      <c r="A2530" t="inlineStr">
        <is>
          <t>2025-10-20</t>
        </is>
      </c>
      <c r="B2530" t="n">
        <v>19.4116</v>
      </c>
      <c r="C2530" t="n">
        <v>31.564</v>
      </c>
    </row>
    <row r="2531">
      <c r="A2531" t="inlineStr">
        <is>
          <t>2025-10-21</t>
        </is>
      </c>
      <c r="B2531" t="n">
        <v>19.4943</v>
      </c>
      <c r="C2531" t="n">
        <v>31.6977</v>
      </c>
    </row>
    <row r="2532">
      <c r="A2532" t="inlineStr">
        <is>
          <t>2025-10-22</t>
        </is>
      </c>
      <c r="B2532" t="n">
        <v>19.7094</v>
      </c>
      <c r="C2532" t="n">
        <v>32.0457</v>
      </c>
    </row>
    <row r="2533">
      <c r="A2533" t="inlineStr">
        <is>
          <t>2025-10-24</t>
        </is>
      </c>
      <c r="B2533" t="n">
        <v>19.939</v>
      </c>
      <c r="C2533" t="n">
        <v>32.4169</v>
      </c>
    </row>
    <row r="2534">
      <c r="A2534" t="inlineStr">
        <is>
          <t>2025-10-27</t>
        </is>
      </c>
      <c r="B2534" t="n">
        <v>20.0144</v>
      </c>
      <c r="C2534" t="n">
        <v>32.536</v>
      </c>
    </row>
    <row r="2535">
      <c r="A2535" t="inlineStr">
        <is>
          <t>2025-10-28</t>
        </is>
      </c>
      <c r="B2535" t="n">
        <v>19.847</v>
      </c>
      <c r="C2535" t="n">
        <v>32.2651</v>
      </c>
    </row>
    <row r="2536">
      <c r="A2536" t="inlineStr">
        <is>
          <t>2025-10-29</t>
        </is>
      </c>
      <c r="B2536" t="n">
        <v>19.8731</v>
      </c>
      <c r="C2536" t="n">
        <v>32.3074</v>
      </c>
    </row>
    <row r="2537">
      <c r="A2537" t="inlineStr">
        <is>
          <t>2025-10-30</t>
        </is>
      </c>
      <c r="B2537" t="n">
        <v>19.8779</v>
      </c>
      <c r="C2537" t="n">
        <v>32.3167</v>
      </c>
    </row>
    <row r="2538">
      <c r="A2538" t="inlineStr">
        <is>
          <t>2025-10-31</t>
        </is>
      </c>
      <c r="B2538" t="n">
        <v>19.7865</v>
      </c>
      <c r="C2538" t="n">
        <v>32.1676</v>
      </c>
    </row>
    <row r="2539">
      <c r="A2539" t="inlineStr">
        <is>
          <t>2025-11-03</t>
        </is>
      </c>
      <c r="B2539" t="n">
        <v>19.7687</v>
      </c>
      <c r="C2539" t="n">
        <v>32.1386</v>
      </c>
    </row>
    <row r="2540">
      <c r="A2540" t="inlineStr">
        <is>
          <t>2025-11-04</t>
        </is>
      </c>
      <c r="B2540" t="n">
        <v>19.6077</v>
      </c>
      <c r="C2540" t="n">
        <v>31.8788</v>
      </c>
    </row>
    <row r="2541">
      <c r="A2541" t="inlineStr">
        <is>
          <t>2025-11-05</t>
        </is>
      </c>
      <c r="B2541" t="n">
        <v>19.5757</v>
      </c>
      <c r="C2541" t="n">
        <v>31.8274</v>
      </c>
    </row>
    <row r="2542">
      <c r="A2542" t="inlineStr">
        <is>
          <t>2025-11-06</t>
        </is>
      </c>
      <c r="B2542" t="n">
        <v>19.822</v>
      </c>
      <c r="C2542" t="n">
        <v>32.2265</v>
      </c>
    </row>
    <row r="2543">
      <c r="A2543" t="inlineStr">
        <is>
          <t>2025-11-07</t>
        </is>
      </c>
      <c r="B2543" t="n">
        <v>19.682</v>
      </c>
      <c r="C2543" t="n">
        <v>31.9965</v>
      </c>
    </row>
    <row r="2544">
      <c r="A2544" t="inlineStr">
        <is>
          <t>2025-11-10</t>
        </is>
      </c>
      <c r="B2544" t="n">
        <v>19.7502</v>
      </c>
      <c r="C2544" t="n">
        <v>32.1063</v>
      </c>
    </row>
    <row r="2545">
      <c r="A2545" t="inlineStr">
        <is>
          <t>2025-11-11</t>
        </is>
      </c>
      <c r="B2545" t="n">
        <v>19.6822</v>
      </c>
      <c r="C2545" t="n">
        <v>31.9932</v>
      </c>
    </row>
    <row r="2546">
      <c r="A2546" t="inlineStr">
        <is>
          <t>2025-11-12</t>
        </is>
      </c>
      <c r="B2546" t="n">
        <v>19.4617</v>
      </c>
      <c r="C2546" t="n">
        <v>31.6364</v>
      </c>
    </row>
    <row r="2547">
      <c r="A2547" t="inlineStr">
        <is>
          <t>2025-11-13</t>
        </is>
      </c>
      <c r="B2547" t="n">
        <v>19.5212</v>
      </c>
      <c r="C2547" t="n">
        <v>31.7321</v>
      </c>
    </row>
    <row r="2548">
      <c r="A2548" t="inlineStr">
        <is>
          <t>2025-11-14</t>
        </is>
      </c>
      <c r="B2548" t="n">
        <v>19.2533</v>
      </c>
      <c r="C2548" t="n">
        <v>31.2981</v>
      </c>
    </row>
    <row r="2549">
      <c r="A2549" t="inlineStr">
        <is>
          <t>2025-11-17</t>
        </is>
      </c>
      <c r="B2549" t="n">
        <v>19.4645</v>
      </c>
      <c r="C2549" t="n">
        <v>31.6396</v>
      </c>
    </row>
    <row r="2550">
      <c r="A2550" t="inlineStr">
        <is>
          <t>2025-11-18</t>
        </is>
      </c>
      <c r="B2550" t="n">
        <v>19.3103</v>
      </c>
      <c r="C2550" t="n">
        <v>31.3887</v>
      </c>
    </row>
    <row r="2551">
      <c r="A2551" t="inlineStr">
        <is>
          <t>2025-11-19</t>
        </is>
      </c>
      <c r="B2551" t="n">
        <v>19.2766</v>
      </c>
      <c r="C2551" t="n">
        <v>31.3351</v>
      </c>
    </row>
    <row r="2552">
      <c r="A2552" t="inlineStr">
        <is>
          <t>2025-11-20</t>
        </is>
      </c>
      <c r="B2552" t="n">
        <v>19.4422</v>
      </c>
      <c r="C2552" t="n">
        <v>31.5989</v>
      </c>
    </row>
    <row r="2553">
      <c r="A2553" t="inlineStr">
        <is>
          <t>2025-11-21</t>
        </is>
      </c>
      <c r="B2553" t="n">
        <v>19.0396</v>
      </c>
      <c r="C2553" t="n">
        <v>30.9481</v>
      </c>
    </row>
    <row r="2554">
      <c r="A2554" t="inlineStr">
        <is>
          <t>2025-11-24</t>
        </is>
      </c>
      <c r="B2554" t="n">
        <v>19.0363</v>
      </c>
      <c r="C2554" t="n">
        <v>30.9405</v>
      </c>
    </row>
    <row r="2555">
      <c r="A2555" t="inlineStr">
        <is>
          <t>2025-11-25</t>
        </is>
      </c>
      <c r="B2555" t="n">
        <v>19.2849</v>
      </c>
      <c r="C2555" t="n">
        <v>31.3389</v>
      </c>
    </row>
    <row r="2556">
      <c r="A2556" t="inlineStr">
        <is>
          <t>2025-11-26</t>
        </is>
      </c>
      <c r="B2556" t="n">
        <v>19.1941</v>
      </c>
      <c r="C2556" t="n">
        <v>31.1919</v>
      </c>
    </row>
    <row r="2557">
      <c r="A2557" t="inlineStr">
        <is>
          <t>2025-11-27</t>
        </is>
      </c>
      <c r="B2557" t="n">
        <v>19.0723</v>
      </c>
      <c r="C2557" t="n">
        <v>30.9961</v>
      </c>
    </row>
    <row r="2558">
      <c r="A2558" t="inlineStr">
        <is>
          <t>2025-11-28</t>
        </is>
      </c>
      <c r="B2558" t="n">
        <v>19.1255</v>
      </c>
      <c r="C2558" t="n">
        <v>31.0825</v>
      </c>
    </row>
    <row r="2559">
      <c r="A2559" t="inlineStr">
        <is>
          <t>2025-12-01</t>
        </is>
      </c>
      <c r="B2559" t="n">
        <v>19.452</v>
      </c>
      <c r="C2559" t="n">
        <v>31.6085</v>
      </c>
    </row>
    <row r="2560">
      <c r="A2560" t="inlineStr">
        <is>
          <t>2025-12-02</t>
        </is>
      </c>
      <c r="B2560" t="n">
        <v>19.474</v>
      </c>
      <c r="C2560" t="n">
        <v>31.6415</v>
      </c>
    </row>
    <row r="2561">
      <c r="A2561" t="inlineStr">
        <is>
          <t>2025-12-03</t>
        </is>
      </c>
      <c r="B2561" t="n">
        <v>19.4381</v>
      </c>
      <c r="C2561" t="n">
        <v>31.5791</v>
      </c>
    </row>
    <row r="2562">
      <c r="A2562" t="inlineStr">
        <is>
          <t>2025-12-04</t>
        </is>
      </c>
      <c r="B2562" t="n">
        <v>19.4784</v>
      </c>
      <c r="C2562" t="n">
        <v>31.6338</v>
      </c>
    </row>
    <row r="2563">
      <c r="A2563" t="inlineStr">
        <is>
          <t>2025-12-08</t>
        </is>
      </c>
      <c r="B2563" t="n">
        <v>19.3447</v>
      </c>
      <c r="C2563" t="n">
        <v>31.4153</v>
      </c>
    </row>
    <row r="2564">
      <c r="A2564" t="inlineStr">
        <is>
          <t>2025-12-09</t>
        </is>
      </c>
      <c r="B2564" t="n">
        <v>19.4744</v>
      </c>
      <c r="C2564" t="n">
        <v>31.6238</v>
      </c>
    </row>
    <row r="2565">
      <c r="A2565" t="inlineStr">
        <is>
          <t>2025-12-11</t>
        </is>
      </c>
      <c r="B2565" t="n">
        <v>19.2816</v>
      </c>
      <c r="C2565" t="n">
        <v>31.3122</v>
      </c>
    </row>
    <row r="2566">
      <c r="A2566" t="inlineStr">
        <is>
          <t>2025-12-12</t>
        </is>
      </c>
      <c r="B2566" t="n">
        <v>19.2684</v>
      </c>
      <c r="C2566" t="n">
        <v>31.2958</v>
      </c>
    </row>
    <row r="2567">
      <c r="A2567" t="inlineStr">
        <is>
          <t>2025-12-15</t>
        </is>
      </c>
      <c r="B2567" t="n">
        <v>19.5771</v>
      </c>
      <c r="C2567" t="n">
        <v>31.789</v>
      </c>
    </row>
    <row r="2568">
      <c r="A2568" t="inlineStr">
        <is>
          <t>2025-12-16</t>
        </is>
      </c>
      <c r="B2568" t="n">
        <v>19.3839</v>
      </c>
      <c r="C2568" t="n">
        <v>31.4743</v>
      </c>
    </row>
    <row r="2569">
      <c r="A2569" t="inlineStr">
        <is>
          <t>2025-12-17</t>
        </is>
      </c>
      <c r="B2569" t="n">
        <v>19.3254</v>
      </c>
      <c r="C2569" t="n">
        <v>31.3801</v>
      </c>
    </row>
    <row r="2570">
      <c r="A2570" t="inlineStr">
        <is>
          <t>2025-12-18</t>
        </is>
      </c>
      <c r="B2570" t="n">
        <v>19.2856</v>
      </c>
      <c r="C2570" t="n">
        <v>31.3115</v>
      </c>
    </row>
    <row r="2571">
      <c r="A2571" t="inlineStr">
        <is>
          <t>2025-12-19</t>
        </is>
      </c>
      <c r="B2571" t="n">
        <v>19.282</v>
      </c>
      <c r="C2571" t="n">
        <v>31.3095</v>
      </c>
    </row>
    <row r="2572">
      <c r="A2572" t="inlineStr">
        <is>
          <t>2025-12-22</t>
        </is>
      </c>
      <c r="B2572" t="n">
        <v>19.5305</v>
      </c>
      <c r="C2572" t="n">
        <v>31.7144</v>
      </c>
    </row>
    <row r="2573">
      <c r="A2573" t="inlineStr">
        <is>
          <t>2025-12-23</t>
        </is>
      </c>
      <c r="B2573" t="n">
        <v>19.5971</v>
      </c>
      <c r="C2573" t="n">
        <v>31.8204</v>
      </c>
    </row>
    <row r="2574">
      <c r="A2574" t="inlineStr">
        <is>
          <t>2025-12-24</t>
        </is>
      </c>
      <c r="B2574" t="n">
        <v>19.6609</v>
      </c>
      <c r="C2574" t="n">
        <v>31.924</v>
      </c>
    </row>
    <row r="2575">
      <c r="A2575" t="inlineStr">
        <is>
          <t>2025-12-25</t>
        </is>
      </c>
      <c r="B2575" t="n">
        <v>19.5227</v>
      </c>
      <c r="C2575" t="n">
        <v>31.6992</v>
      </c>
    </row>
    <row r="2576">
      <c r="A2576" t="inlineStr">
        <is>
          <t>2025-12-26</t>
        </is>
      </c>
      <c r="B2576" t="n">
        <v>19.4444</v>
      </c>
      <c r="C2576" t="n">
        <v>31.573</v>
      </c>
    </row>
    <row r="2577">
      <c r="A2577" t="inlineStr">
        <is>
          <t>2025-12-29</t>
        </is>
      </c>
      <c r="B2577" t="n">
        <v>19.3471</v>
      </c>
      <c r="C2577" t="n">
        <v>31.4164</v>
      </c>
    </row>
    <row r="2578">
      <c r="A2578" t="inlineStr">
        <is>
          <t>2025-12-30</t>
        </is>
      </c>
      <c r="B2578" t="n">
        <v>19.4442</v>
      </c>
      <c r="C2578" t="n">
        <v>31.5798</v>
      </c>
    </row>
    <row r="2579">
      <c r="A2579" t="inlineStr">
        <is>
          <t>2026-01-05</t>
        </is>
      </c>
      <c r="B2579" t="n">
        <v>19.7296</v>
      </c>
      <c r="C2579" t="n">
        <v>32.0418</v>
      </c>
    </row>
    <row r="2580">
      <c r="A2580" t="inlineStr">
        <is>
          <t>2026-01-06</t>
        </is>
      </c>
      <c r="B2580" t="n">
        <v>19.6247</v>
      </c>
      <c r="C2580" t="n">
        <v>31.8691</v>
      </c>
    </row>
    <row r="2581">
      <c r="A2581" t="inlineStr">
        <is>
          <t>2026-01-07</t>
        </is>
      </c>
      <c r="B2581" t="n">
        <v>19.678</v>
      </c>
      <c r="C2581" t="n">
        <v>31.9539</v>
      </c>
    </row>
    <row r="2582">
      <c r="A2582" t="inlineStr">
        <is>
          <t>2026-01-08</t>
        </is>
      </c>
      <c r="B2582" t="n">
        <v>19.3833</v>
      </c>
      <c r="C2582" t="n">
        <v>31.4792</v>
      </c>
    </row>
    <row r="2583">
      <c r="A2583" t="inlineStr">
        <is>
          <t>2026-01-09</t>
        </is>
      </c>
      <c r="B2583" t="n">
        <v>19.3876</v>
      </c>
      <c r="C2583" t="n">
        <v>31.4882</v>
      </c>
    </row>
    <row r="2584">
      <c r="A2584" t="inlineStr">
        <is>
          <t>2026-01-12</t>
        </is>
      </c>
      <c r="B2584" t="n">
        <v>19.2627</v>
      </c>
      <c r="C2584" t="n">
        <v>31.2877</v>
      </c>
    </row>
    <row r="2585">
      <c r="A2585" t="inlineStr">
        <is>
          <t>2026-01-13</t>
        </is>
      </c>
      <c r="B2585" t="n">
        <v>19.2012</v>
      </c>
      <c r="C2585" t="n">
        <v>31.1872</v>
      </c>
    </row>
    <row r="2586">
      <c r="A2586" t="inlineStr">
        <is>
          <t>2026-01-14</t>
        </is>
      </c>
      <c r="B2586" t="n">
        <v>19.3971</v>
      </c>
      <c r="C2586" t="n">
        <v>31.505</v>
      </c>
    </row>
    <row r="2587">
      <c r="A2587" t="inlineStr">
        <is>
          <t>2026-01-15</t>
        </is>
      </c>
      <c r="B2587" t="n">
        <v>19.6384</v>
      </c>
      <c r="C2587" t="n">
        <v>31.8969</v>
      </c>
    </row>
    <row r="2588">
      <c r="A2588" t="inlineStr">
        <is>
          <t>2026-01-16</t>
        </is>
      </c>
      <c r="B2588" t="n">
        <v>19.9053</v>
      </c>
      <c r="C2588" t="n">
        <v>32.3289</v>
      </c>
    </row>
    <row r="2589">
      <c r="A2589" t="inlineStr">
        <is>
          <t>2026-01-19</t>
        </is>
      </c>
      <c r="B2589" t="n">
        <v>19.9958</v>
      </c>
      <c r="C2589" t="n">
        <v>32.4752</v>
      </c>
    </row>
    <row r="2590">
      <c r="A2590" t="inlineStr">
        <is>
          <t>2026-01-20</t>
        </is>
      </c>
      <c r="B2590" t="n">
        <v>20.2183</v>
      </c>
      <c r="C2590" t="n">
        <v>32.835</v>
      </c>
    </row>
    <row r="2591">
      <c r="A2591" t="inlineStr">
        <is>
          <t>2026-01-21</t>
        </is>
      </c>
      <c r="B2591" t="n">
        <v>20.4906</v>
      </c>
      <c r="C2591" t="n">
        <v>33.2792</v>
      </c>
    </row>
    <row r="2592">
      <c r="A2592" t="inlineStr">
        <is>
          <t>2026-01-22</t>
        </is>
      </c>
      <c r="B2592" t="n">
        <v>20.3389</v>
      </c>
      <c r="C2592" t="n">
        <v>33.0369</v>
      </c>
    </row>
    <row r="2593">
      <c r="A2593" t="inlineStr">
        <is>
          <t>2026-01-23</t>
        </is>
      </c>
      <c r="B2593" t="n">
        <v>20.3793</v>
      </c>
      <c r="C2593" t="n">
        <v>33.1025</v>
      </c>
    </row>
    <row r="2594">
      <c r="A2594" t="inlineStr">
        <is>
          <t>2026-01-26</t>
        </is>
      </c>
      <c r="B2594" t="n">
        <v>20.2901</v>
      </c>
      <c r="C2594" t="n">
        <v>32.9571</v>
      </c>
    </row>
    <row r="2595">
      <c r="A2595" t="inlineStr">
        <is>
          <t>2026-01-27</t>
        </is>
      </c>
      <c r="B2595" t="n">
        <v>20.6593</v>
      </c>
      <c r="C2595" t="n">
        <v>33.5568</v>
      </c>
    </row>
    <row r="2596">
      <c r="A2596" t="inlineStr">
        <is>
          <t>2026-01-28</t>
        </is>
      </c>
      <c r="B2596" t="n">
        <v>20.7676</v>
      </c>
      <c r="C2596" t="n">
        <v>33.7319</v>
      </c>
    </row>
    <row r="2597">
      <c r="A2597" t="inlineStr">
        <is>
          <t>2026-01-29</t>
        </is>
      </c>
      <c r="B2597" t="n">
        <v>20.6278</v>
      </c>
      <c r="C2597" t="n">
        <v>33.5056</v>
      </c>
    </row>
    <row r="2598">
      <c r="A2598" t="inlineStr">
        <is>
          <t>2026-01-30</t>
        </is>
      </c>
      <c r="B2598" t="n">
        <v>20.5141</v>
      </c>
      <c r="C2598" t="n">
        <v>33.3208</v>
      </c>
    </row>
    <row r="2599">
      <c r="A2599" t="inlineStr">
        <is>
          <t>2026-02-02</t>
        </is>
      </c>
      <c r="B2599" t="n">
        <v>20.5094</v>
      </c>
      <c r="C2599" t="n">
        <v>33.3114</v>
      </c>
    </row>
    <row r="2600">
      <c r="A2600" t="inlineStr">
        <is>
          <t>2026-02-03</t>
        </is>
      </c>
      <c r="B2600" t="n">
        <v>20.7288</v>
      </c>
      <c r="C2600" t="n">
        <v>33.6664</v>
      </c>
    </row>
    <row r="2601">
      <c r="A2601" t="inlineStr">
        <is>
          <t>2026-02-04</t>
        </is>
      </c>
      <c r="B2601" t="n">
        <v>20.9889</v>
      </c>
      <c r="C2601" t="n">
        <v>34.0885</v>
      </c>
    </row>
    <row r="2602">
      <c r="A2602" t="inlineStr">
        <is>
          <t>2026-02-05</t>
        </is>
      </c>
      <c r="B2602" t="n">
        <v>21.0113</v>
      </c>
      <c r="C2602" t="n">
        <v>34.1236</v>
      </c>
    </row>
    <row r="2603">
      <c r="A2603" t="inlineStr">
        <is>
          <t>2026-02-06</t>
        </is>
      </c>
      <c r="B2603" t="n">
        <v>21.1321</v>
      </c>
      <c r="C2603" t="n">
        <v>34.3194</v>
      </c>
    </row>
    <row r="2604">
      <c r="A2604" t="inlineStr">
        <is>
          <t>2026-02-09</t>
        </is>
      </c>
      <c r="B2604" t="n">
        <v>21.9016</v>
      </c>
      <c r="C2604" t="n">
        <v>35.5621</v>
      </c>
    </row>
    <row r="2605">
      <c r="A2605" t="inlineStr">
        <is>
          <t>2026-02-10</t>
        </is>
      </c>
      <c r="B2605" t="n">
        <v>22.0831</v>
      </c>
      <c r="C2605" t="n">
        <v>35.8524</v>
      </c>
    </row>
    <row r="2606">
      <c r="A2606" t="inlineStr">
        <is>
          <t>2026-02-11</t>
        </is>
      </c>
      <c r="B2606" t="n">
        <v>22.0694</v>
      </c>
      <c r="C2606" t="n">
        <v>35.8344</v>
      </c>
    </row>
    <row r="2607">
      <c r="A2607" t="inlineStr">
        <is>
          <t>2026-02-12</t>
        </is>
      </c>
      <c r="B2607" t="n">
        <v>22.5767</v>
      </c>
      <c r="C2607" t="n">
        <v>36.6546</v>
      </c>
    </row>
    <row r="2608">
      <c r="A2608" t="inlineStr">
        <is>
          <t>2026-02-13</t>
        </is>
      </c>
      <c r="B2608" t="n">
        <v>22.4062</v>
      </c>
      <c r="C2608" t="n">
        <v>36.3799</v>
      </c>
    </row>
    <row r="2609">
      <c r="A2609" t="inlineStr">
        <is>
          <t>2026-02-16</t>
        </is>
      </c>
      <c r="B2609" t="n">
        <v>22.5054</v>
      </c>
      <c r="C2609" t="n">
        <v>36.5368</v>
      </c>
    </row>
    <row r="2610">
      <c r="A2610" t="inlineStr">
        <is>
          <t>2026-02-17</t>
        </is>
      </c>
      <c r="B2610" t="n">
        <v>22.8363</v>
      </c>
      <c r="C2610" t="n">
        <v>37.0724</v>
      </c>
    </row>
    <row r="2611">
      <c r="A2611" t="inlineStr">
        <is>
          <t>2026-02-18</t>
        </is>
      </c>
      <c r="B2611" t="n">
        <v>22.9142</v>
      </c>
      <c r="C2611" t="n">
        <v>37.1993</v>
      </c>
    </row>
    <row r="2612">
      <c r="A2612" t="inlineStr">
        <is>
          <t>2026-02-19</t>
        </is>
      </c>
      <c r="B2612" t="n">
        <v>23.3104</v>
      </c>
      <c r="C2612" t="n">
        <v>37.8437</v>
      </c>
    </row>
    <row r="2613">
      <c r="A2613" t="inlineStr">
        <is>
          <t>2026-02-20</t>
        </is>
      </c>
      <c r="B2613" t="n">
        <v>23.1155</v>
      </c>
      <c r="C2613" t="n">
        <v>37.53</v>
      </c>
    </row>
    <row r="2614">
      <c r="A2614" t="inlineStr">
        <is>
          <t>2026-02-23</t>
        </is>
      </c>
      <c r="B2614" t="n">
        <v>23.0967</v>
      </c>
      <c r="C2614" t="n">
        <v>37.5013</v>
      </c>
    </row>
    <row r="2615">
      <c r="A2615" t="inlineStr">
        <is>
          <t>2026-02-24</t>
        </is>
      </c>
      <c r="B2615" t="n">
        <v>23.2679</v>
      </c>
      <c r="C2615" t="n">
        <v>37.7858</v>
      </c>
    </row>
    <row r="2616">
      <c r="A2616" t="inlineStr">
        <is>
          <t>2026-02-25</t>
        </is>
      </c>
      <c r="B2616" t="n">
        <v>23.643</v>
      </c>
      <c r="C2616" t="n">
        <v>38.3963</v>
      </c>
    </row>
    <row r="2617">
      <c r="A2617" t="inlineStr">
        <is>
          <t>2026-02-26</t>
        </is>
      </c>
      <c r="B2617" t="n">
        <v>23.8741</v>
      </c>
      <c r="C2617" t="n">
        <v>38.7735</v>
      </c>
    </row>
    <row r="2618">
      <c r="A2618" t="inlineStr">
        <is>
          <t>2026-02-27</t>
        </is>
      </c>
      <c r="B2618" t="n">
        <v>23.8697</v>
      </c>
      <c r="C2618" t="n">
        <v>38.7676</v>
      </c>
    </row>
    <row r="2619">
      <c r="A2619" t="inlineStr">
        <is>
          <t>2026-03-02</t>
        </is>
      </c>
      <c r="B2619" t="n">
        <v>23.0162</v>
      </c>
      <c r="C2619" t="n">
        <v>37.3853</v>
      </c>
    </row>
    <row r="2620">
      <c r="A2620" t="inlineStr">
        <is>
          <t>2026-03-04</t>
        </is>
      </c>
      <c r="B2620" t="n">
        <v>21.7828</v>
      </c>
      <c r="C2620" t="n">
        <v>35.3944</v>
      </c>
    </row>
    <row r="2621">
      <c r="A2621" t="inlineStr">
        <is>
          <t>2026-03-05</t>
        </is>
      </c>
      <c r="B2621" t="n">
        <v>22.2699</v>
      </c>
      <c r="C2621" t="n">
        <v>36.1863</v>
      </c>
    </row>
    <row r="2622">
      <c r="A2622" t="inlineStr">
        <is>
          <t>2026-03-06</t>
        </is>
      </c>
      <c r="B2622" t="n">
        <v>22.1337</v>
      </c>
      <c r="C2622" t="n">
        <v>35.9649</v>
      </c>
    </row>
    <row r="2623">
      <c r="A2623" t="inlineStr">
        <is>
          <t>2026-03-09</t>
        </is>
      </c>
      <c r="B2623" t="n">
        <v>21.7081</v>
      </c>
      <c r="C2623" t="n">
        <v>35.2709</v>
      </c>
    </row>
    <row r="2624">
      <c r="A2624" t="inlineStr">
        <is>
          <t>2026-03-10</t>
        </is>
      </c>
      <c r="B2624" t="n">
        <v>22.0659</v>
      </c>
      <c r="C2624" t="n">
        <v>35.8533</v>
      </c>
    </row>
    <row r="2625">
      <c r="A2625" t="inlineStr">
        <is>
          <t>2026-03-11</t>
        </is>
      </c>
      <c r="B2625" t="n">
        <v>22.0714</v>
      </c>
      <c r="C2625" t="n">
        <v>35.8639</v>
      </c>
    </row>
    <row r="2626">
      <c r="A2626" t="inlineStr">
        <is>
          <t>2026-03-12</t>
        </is>
      </c>
      <c r="B2626" t="n">
        <v>22.4689</v>
      </c>
      <c r="C2626" t="n">
        <v>36.5074</v>
      </c>
    </row>
    <row r="2627">
      <c r="A2627" t="inlineStr">
        <is>
          <t>2026-03-13</t>
        </is>
      </c>
      <c r="B2627" t="n">
        <v>22.1573</v>
      </c>
      <c r="C2627" t="n">
        <v>36.0022</v>
      </c>
    </row>
    <row r="2628">
      <c r="A2628" t="inlineStr">
        <is>
          <t>2026-03-16</t>
        </is>
      </c>
      <c r="B2628" t="n">
        <v>22.0805</v>
      </c>
      <c r="C2628" t="n">
        <v>35.8776</v>
      </c>
    </row>
    <row r="2629">
      <c r="A2629" t="inlineStr">
        <is>
          <t>2026-03-17</t>
        </is>
      </c>
      <c r="B2629" t="n">
        <v>22.5651</v>
      </c>
      <c r="C2629" t="n">
        <v>36.663</v>
      </c>
    </row>
    <row r="2630">
      <c r="A2630" t="inlineStr">
        <is>
          <t>2026-03-18</t>
        </is>
      </c>
      <c r="B2630" t="n">
        <v>22.6141</v>
      </c>
      <c r="C2630" t="n">
        <v>36.742</v>
      </c>
    </row>
    <row r="2631">
      <c r="A2631" t="inlineStr">
        <is>
          <t>2026-03-19</t>
        </is>
      </c>
      <c r="B2631" t="n">
        <v>22.3136</v>
      </c>
      <c r="C2631" t="n">
        <v>36.2585</v>
      </c>
    </row>
    <row r="2632">
      <c r="A2632" t="inlineStr">
        <is>
          <t>2026-03-20</t>
        </is>
      </c>
      <c r="B2632" t="n">
        <v>22.5541</v>
      </c>
      <c r="C2632" t="n">
        <v>36.6442</v>
      </c>
    </row>
    <row r="2633">
      <c r="A2633" t="inlineStr">
        <is>
          <t>2026-03-23</t>
        </is>
      </c>
      <c r="B2633" t="n">
        <v>22.0081</v>
      </c>
      <c r="C2633" t="n">
        <v>35.7582</v>
      </c>
    </row>
    <row r="2634">
      <c r="A2634" t="inlineStr">
        <is>
          <t>2026-03-24</t>
        </is>
      </c>
      <c r="B2634" t="n">
        <v>22.235</v>
      </c>
      <c r="C2634" t="n">
        <v>36.1267</v>
      </c>
    </row>
    <row r="2635">
      <c r="A2635" t="inlineStr">
        <is>
          <t>2026-03-25</t>
        </is>
      </c>
      <c r="B2635" t="n">
        <v>22.8924</v>
      </c>
      <c r="C2635" t="n">
        <v>37.1977</v>
      </c>
    </row>
    <row r="2636">
      <c r="A2636" t="inlineStr">
        <is>
          <t>2026-03-26</t>
        </is>
      </c>
      <c r="B2636" t="n">
        <v>22.7351</v>
      </c>
      <c r="C2636" t="n">
        <v>36.9442</v>
      </c>
    </row>
    <row r="2637">
      <c r="A2637" t="inlineStr">
        <is>
          <t>2026-03-27</t>
        </is>
      </c>
      <c r="B2637" t="n">
        <v>22.7975</v>
      </c>
      <c r="C2637" t="n">
        <v>37.0444</v>
      </c>
    </row>
    <row r="2638">
      <c r="A2638" t="inlineStr">
        <is>
          <t>2026-03-30</t>
        </is>
      </c>
      <c r="B2638" t="n">
        <v>22.8874</v>
      </c>
      <c r="C2638" t="n">
        <v>37.1879</v>
      </c>
    </row>
    <row r="2639">
      <c r="A2639" t="inlineStr">
        <is>
          <t>2026-03-31</t>
        </is>
      </c>
      <c r="B2639" t="n">
        <v>22.9249</v>
      </c>
      <c r="C2639" t="n">
        <v>37.2502</v>
      </c>
    </row>
    <row r="2640">
      <c r="A2640" t="inlineStr">
        <is>
          <t>2026-04-01</t>
        </is>
      </c>
      <c r="B2640" t="n">
        <v>23.1856</v>
      </c>
      <c r="C2640" t="n">
        <v>37.6725</v>
      </c>
    </row>
    <row r="2641">
      <c r="A2641" t="inlineStr">
        <is>
          <t>2026-04-02</t>
        </is>
      </c>
      <c r="B2641" t="n">
        <v>23.1011</v>
      </c>
      <c r="C2641" t="n">
        <v>37.5372</v>
      </c>
    </row>
    <row r="2642">
      <c r="A2642" t="inlineStr">
        <is>
          <t>2026-04-03</t>
        </is>
      </c>
      <c r="B2642" t="n">
        <v>22.9129</v>
      </c>
      <c r="C2642" t="n">
        <v>37.2311</v>
      </c>
    </row>
    <row r="2643">
      <c r="A2643" t="inlineStr">
        <is>
          <t>2026-04-07</t>
        </is>
      </c>
      <c r="B2643" t="n">
        <v>23.0651</v>
      </c>
      <c r="C2643" t="n">
        <v>37.4807</v>
      </c>
    </row>
    <row r="2644">
      <c r="A2644" t="inlineStr">
        <is>
          <t>2026-04-08</t>
        </is>
      </c>
      <c r="B2644" t="n">
        <v>23.3403</v>
      </c>
      <c r="C2644" t="n">
        <v>37.9257</v>
      </c>
    </row>
    <row r="2645">
      <c r="A2645" t="inlineStr">
        <is>
          <t>2026-04-09</t>
        </is>
      </c>
      <c r="B2645" t="n">
        <v>23.3272</v>
      </c>
      <c r="C2645" t="n">
        <v>37.9034</v>
      </c>
    </row>
    <row r="2646">
      <c r="A2646" t="inlineStr">
        <is>
          <t>2026-04-10</t>
        </is>
      </c>
      <c r="B2646" t="n">
        <v>23.4981</v>
      </c>
      <c r="C2646" t="n">
        <v>38.177</v>
      </c>
    </row>
    <row r="2647">
      <c r="A2647" t="inlineStr">
        <is>
          <t>2026-04-16</t>
        </is>
      </c>
      <c r="B2647" t="n">
        <v>23.3347</v>
      </c>
      <c r="C2647" t="n">
        <v>37.9134</v>
      </c>
    </row>
    <row r="2648">
      <c r="A2648" t="inlineStr">
        <is>
          <t>2026-04-17</t>
        </is>
      </c>
      <c r="B2648" t="n">
        <v>23.1447</v>
      </c>
      <c r="C2648" t="n">
        <v>37.6054</v>
      </c>
    </row>
    <row r="2649">
      <c r="A2649" t="inlineStr">
        <is>
          <t>2026-04-20</t>
        </is>
      </c>
      <c r="B2649" t="n">
        <v>23.124</v>
      </c>
      <c r="C2649" t="n">
        <v>37.572</v>
      </c>
    </row>
    <row r="2650">
      <c r="A2650" t="inlineStr">
        <is>
          <t>2026-04-21</t>
        </is>
      </c>
      <c r="B2650" t="n">
        <v>23.1996</v>
      </c>
      <c r="C2650" t="n">
        <v>37.6939</v>
      </c>
    </row>
    <row r="2651">
      <c r="A2651" t="inlineStr">
        <is>
          <t>2026-04-22</t>
        </is>
      </c>
      <c r="B2651" t="n">
        <v>23.1946</v>
      </c>
      <c r="C2651" t="n">
        <v>37.6872</v>
      </c>
    </row>
    <row r="2652">
      <c r="A2652" t="inlineStr">
        <is>
          <t>2026-04-23</t>
        </is>
      </c>
      <c r="B2652" t="n">
        <v>22.9504</v>
      </c>
      <c r="C2652" t="n">
        <v>37.2946</v>
      </c>
    </row>
    <row r="2653">
      <c r="A2653" t="inlineStr">
        <is>
          <t>2026-04-24</t>
        </is>
      </c>
      <c r="B2653" t="n">
        <v>22.8655</v>
      </c>
      <c r="C2653" t="n">
        <v>37.1573</v>
      </c>
    </row>
    <row r="2654">
      <c r="A2654" t="inlineStr">
        <is>
          <t>2026-04-27</t>
        </is>
      </c>
      <c r="B2654" t="n">
        <v>23.1173</v>
      </c>
      <c r="C2654" t="n">
        <v>37.5621</v>
      </c>
    </row>
    <row r="2655">
      <c r="A2655" t="inlineStr">
        <is>
          <t>2026-04-28</t>
        </is>
      </c>
      <c r="B2655" t="n">
        <v>23.1318</v>
      </c>
      <c r="C2655" t="n">
        <v>37.5857</v>
      </c>
    </row>
    <row r="2656">
      <c r="A2656" t="inlineStr">
        <is>
          <t>2026-04-29</t>
        </is>
      </c>
      <c r="B2656" t="n">
        <v>23.3109</v>
      </c>
      <c r="C2656" t="n">
        <v>37.8717</v>
      </c>
    </row>
    <row r="2657">
      <c r="A2657" t="inlineStr">
        <is>
          <t>2026-04-30</t>
        </is>
      </c>
      <c r="B2657" t="n">
        <v>23.3113</v>
      </c>
      <c r="C2657" t="n">
        <v>37.8729</v>
      </c>
    </row>
    <row r="2658">
      <c r="A2658" t="inlineStr">
        <is>
          <t>2026-05-05</t>
        </is>
      </c>
      <c r="B2658" t="n">
        <v>23.317</v>
      </c>
      <c r="C2658" t="n">
        <v>37.8841</v>
      </c>
    </row>
    <row r="2659">
      <c r="A2659" t="inlineStr">
        <is>
          <t>2026-05-06</t>
        </is>
      </c>
      <c r="B2659" t="n">
        <v>23.6924</v>
      </c>
      <c r="C2659" t="n">
        <v>38.4835</v>
      </c>
    </row>
    <row r="2660">
      <c r="A2660" t="inlineStr">
        <is>
          <t>2026-05-07</t>
        </is>
      </c>
      <c r="B2660" t="n">
        <v>23.6358</v>
      </c>
      <c r="C2660" t="n">
        <v>38.3924</v>
      </c>
    </row>
    <row r="2661">
      <c r="A2661" t="inlineStr">
        <is>
          <t>2026-05-08</t>
        </is>
      </c>
      <c r="B2661" t="n">
        <v>23.5459</v>
      </c>
      <c r="C2661" t="n">
        <v>38.2502</v>
      </c>
    </row>
    <row r="2662">
      <c r="A2662" t="inlineStr">
        <is>
          <t>2026-05-11</t>
        </is>
      </c>
      <c r="B2662" t="n">
        <v>23.4094</v>
      </c>
      <c r="C2662" t="n">
        <v>38.0303</v>
      </c>
    </row>
    <row r="2663">
      <c r="A2663" t="inlineStr">
        <is>
          <t>2026-05-12</t>
        </is>
      </c>
      <c r="B2663" t="n">
        <v>23.3972</v>
      </c>
      <c r="C2663" t="n">
        <v>38.0117</v>
      </c>
    </row>
    <row r="2664">
      <c r="A2664" t="inlineStr">
        <is>
          <t>2026-05-13</t>
        </is>
      </c>
      <c r="B2664" t="n">
        <v>23.7385</v>
      </c>
      <c r="C2664" t="n">
        <v>38.5593</v>
      </c>
    </row>
    <row r="2665">
      <c r="A2665" t="inlineStr">
        <is>
          <t>2026-05-14</t>
        </is>
      </c>
      <c r="B2665" t="n">
        <v>24.168</v>
      </c>
      <c r="C2665" t="n">
        <v>39.2546</v>
      </c>
    </row>
    <row r="2666">
      <c r="A2666" t="inlineStr">
        <is>
          <t>2026-05-15</t>
        </is>
      </c>
      <c r="B2666" t="n">
        <v>22.7794</v>
      </c>
      <c r="C2666" t="n">
        <v>38.7965</v>
      </c>
    </row>
    <row r="2667">
      <c r="A2667" t="inlineStr">
        <is>
          <t>2026-05-18</t>
        </is>
      </c>
      <c r="B2667" t="n">
        <v>22.8296</v>
      </c>
      <c r="C2667" t="n">
        <v>38.8818</v>
      </c>
    </row>
    <row r="2668">
      <c r="A2668" t="inlineStr">
        <is>
          <t>2026-05-19</t>
        </is>
      </c>
      <c r="B2668" t="n">
        <v>22.8347</v>
      </c>
      <c r="C2668" t="n">
        <v>38.8944</v>
      </c>
    </row>
    <row r="2669">
      <c r="A2669" t="inlineStr">
        <is>
          <t>2026-05-20</t>
        </is>
      </c>
      <c r="B2669" t="n">
        <v>22.9483</v>
      </c>
      <c r="C2669" t="n">
        <v>39.0788</v>
      </c>
    </row>
    <row r="2670">
      <c r="A2670" t="inlineStr">
        <is>
          <t>2026-05-21</t>
        </is>
      </c>
      <c r="B2670" t="n">
        <v>22.9456</v>
      </c>
      <c r="C2670" t="n">
        <v>39.0703</v>
      </c>
    </row>
    <row r="2671">
      <c r="A2671" t="inlineStr">
        <is>
          <t>2026-05-22</t>
        </is>
      </c>
      <c r="B2671" t="n">
        <v>22.9832</v>
      </c>
      <c r="C2671" t="n">
        <v>39.1283</v>
      </c>
    </row>
    <row r="2672">
      <c r="A2672" t="inlineStr">
        <is>
          <t>2026-05-25</t>
        </is>
      </c>
      <c r="B2672" t="n">
        <v>23.1477</v>
      </c>
      <c r="C2672" t="n">
        <v>39.4075</v>
      </c>
    </row>
    <row r="2673">
      <c r="A2673" t="inlineStr">
        <is>
          <t>2026-05-26</t>
        </is>
      </c>
      <c r="B2673" t="n">
        <v>23.1226</v>
      </c>
      <c r="C2673" t="n">
        <v>39.3591</v>
      </c>
    </row>
    <row r="2674">
      <c r="A2674" t="inlineStr">
        <is>
          <t>2026-05-27</t>
        </is>
      </c>
      <c r="B2674" t="n">
        <v>23.2546</v>
      </c>
      <c r="C2674" t="n">
        <v>39.5707</v>
      </c>
    </row>
    <row r="2675">
      <c r="A2675" t="inlineStr">
        <is>
          <t>2026-05-28</t>
        </is>
      </c>
      <c r="B2675" t="n">
        <v>23.1797</v>
      </c>
      <c r="C2675" t="n">
        <v>39.4432</v>
      </c>
    </row>
    <row r="2676">
      <c r="A2676" t="inlineStr">
        <is>
          <t>2026-05-29</t>
        </is>
      </c>
      <c r="B2676" t="n">
        <v>23.1845</v>
      </c>
      <c r="C2676" t="n">
        <v>39.4509</v>
      </c>
    </row>
    <row r="2677">
      <c r="A2677" t="inlineStr">
        <is>
          <t>2026-06-02</t>
        </is>
      </c>
      <c r="B2677" t="n">
        <v>23.5261</v>
      </c>
      <c r="C2677" t="n">
        <v>40.0445</v>
      </c>
    </row>
    <row r="2678">
      <c r="A2678" t="inlineStr">
        <is>
          <t>2026-06-04</t>
        </is>
      </c>
      <c r="B2678" t="n">
        <v>23.627</v>
      </c>
      <c r="C2678" t="n">
        <v>40.2167</v>
      </c>
    </row>
    <row r="2679">
      <c r="A2679" t="inlineStr">
        <is>
          <t>2026-06-05</t>
        </is>
      </c>
      <c r="B2679" t="n">
        <v>23.5375</v>
      </c>
      <c r="C2679" t="n">
        <v>40.0773</v>
      </c>
    </row>
    <row r="2680">
      <c r="A2680" t="inlineStr">
        <is>
          <t>2026-06-08</t>
        </is>
      </c>
      <c r="B2680" t="n">
        <v>23.2424</v>
      </c>
      <c r="C2680" t="n">
        <v>39.5777</v>
      </c>
    </row>
    <row r="2681">
      <c r="A2681" t="inlineStr">
        <is>
          <t>2026-06-09</t>
        </is>
      </c>
      <c r="B2681" t="n">
        <v>23.374</v>
      </c>
      <c r="C2681" t="n">
        <v>39.7747</v>
      </c>
    </row>
    <row r="2682">
      <c r="A2682" t="inlineStr">
        <is>
          <t>2026-06-10</t>
        </is>
      </c>
      <c r="B2682" t="n">
        <v>23.1492</v>
      </c>
      <c r="C2682" t="n">
        <v>39.4001</v>
      </c>
    </row>
    <row r="2683">
      <c r="A2683" t="inlineStr">
        <is>
          <t>2026-06-11</t>
        </is>
      </c>
      <c r="B2683" t="n">
        <v>23.2404</v>
      </c>
      <c r="C2683" t="n">
        <v>39.5505</v>
      </c>
    </row>
    <row r="2684">
      <c r="A2684" t="inlineStr">
        <is>
          <t>2026-06-12</t>
        </is>
      </c>
      <c r="B2684" t="n">
        <v>23.5518</v>
      </c>
      <c r="C2684" t="n">
        <v>40.0791</v>
      </c>
    </row>
    <row r="2685">
      <c r="A2685" t="inlineStr">
        <is>
          <t>2026-06-15</t>
        </is>
      </c>
      <c r="B2685" t="n">
        <v>23.5248</v>
      </c>
      <c r="C2685" t="n">
        <v>40.0339</v>
      </c>
    </row>
    <row r="2686">
      <c r="A2686" t="inlineStr">
        <is>
          <t>2026-06-16</t>
        </is>
      </c>
      <c r="B2686" t="n">
        <v>23.5645</v>
      </c>
      <c r="C2686" t="n">
        <v>40.1126</v>
      </c>
    </row>
    <row r="2687">
      <c r="A2687" t="inlineStr">
        <is>
          <t>2026-06-17</t>
        </is>
      </c>
      <c r="B2687" t="n">
        <v>23.5756</v>
      </c>
      <c r="C2687" t="n">
        <v>40.1362</v>
      </c>
    </row>
    <row r="2688">
      <c r="A2688" t="inlineStr">
        <is>
          <t>2026-06-18</t>
        </is>
      </c>
      <c r="B2688" t="n">
        <v>23.562</v>
      </c>
      <c r="C2688" t="n">
        <v>40.1142</v>
      </c>
    </row>
    <row r="2689">
      <c r="A2689" t="inlineStr">
        <is>
          <t>2026-06-19</t>
        </is>
      </c>
      <c r="B2689" t="n">
        <v>23.4489</v>
      </c>
      <c r="C2689" t="n">
        <v>39.9331</v>
      </c>
    </row>
    <row r="2690">
      <c r="A2690" t="inlineStr">
        <is>
          <t>2026-06-22</t>
        </is>
      </c>
      <c r="B2690" t="n">
        <v>23.4589</v>
      </c>
      <c r="C2690" t="n">
        <v>39.9509</v>
      </c>
    </row>
    <row r="2691">
      <c r="A2691" t="inlineStr">
        <is>
          <t>2026-06-23</t>
        </is>
      </c>
      <c r="B2691" t="n">
        <v>23.0481</v>
      </c>
      <c r="C2691" t="n">
        <v>39.2648</v>
      </c>
    </row>
    <row r="2692">
      <c r="A2692" t="inlineStr">
        <is>
          <t>2026-06-24</t>
        </is>
      </c>
      <c r="B2692" t="n">
        <v>23.1809</v>
      </c>
      <c r="C2692" t="n">
        <v>39.4966</v>
      </c>
    </row>
    <row r="2693">
      <c r="A2693" t="inlineStr">
        <is>
          <t>2026-06-25</t>
        </is>
      </c>
      <c r="B2693" t="n">
        <v>23.2366</v>
      </c>
      <c r="C2693" t="n">
        <v>39.5794</v>
      </c>
    </row>
    <row r="2694">
      <c r="A2694" t="inlineStr">
        <is>
          <t>2026-06-26</t>
        </is>
      </c>
      <c r="B2694" t="n">
        <v>23.1539</v>
      </c>
      <c r="C2694" t="n">
        <v>39.462</v>
      </c>
    </row>
    <row r="2695">
      <c r="A2695" t="inlineStr">
        <is>
          <t>2026-06-29</t>
        </is>
      </c>
      <c r="B2695" t="n">
        <v>23.6232</v>
      </c>
      <c r="C2695" t="n">
        <v>40.2449</v>
      </c>
    </row>
    <row r="2696">
      <c r="A2696" t="inlineStr">
        <is>
          <t>2026-06-30</t>
        </is>
      </c>
      <c r="B2696" t="n">
        <v>23.7949</v>
      </c>
      <c r="C2696" t="n">
        <v>40.6232</v>
      </c>
    </row>
    <row r="2697">
      <c r="A2697" t="inlineStr">
        <is>
          <t>2026-07-01</t>
        </is>
      </c>
      <c r="B2697" t="n">
        <v>23.7066</v>
      </c>
      <c r="C2697" t="n">
        <v>40.4709</v>
      </c>
    </row>
    <row r="2698">
      <c r="A2698" t="inlineStr">
        <is>
          <t>2026-07-02</t>
        </is>
      </c>
      <c r="B2698" t="n">
        <v>23.9751</v>
      </c>
      <c r="C2698" t="n">
        <v>40.9262</v>
      </c>
    </row>
    <row r="2699">
      <c r="A2699" t="inlineStr">
        <is>
          <t>2026-07-03</t>
        </is>
      </c>
      <c r="B2699" t="n">
        <v>24.2699</v>
      </c>
      <c r="C2699" t="n">
        <v>41.431</v>
      </c>
    </row>
    <row r="2700">
      <c r="A2700" t="inlineStr">
        <is>
          <t>2026-07-06</t>
        </is>
      </c>
      <c r="B2700" t="n">
        <v>24.2915</v>
      </c>
      <c r="C2700" t="n">
        <v>41.4689</v>
      </c>
    </row>
    <row r="2701">
      <c r="A2701" t="inlineStr">
        <is>
          <t>2026-07-07</t>
        </is>
      </c>
      <c r="B2701" t="n">
        <v>24.1528</v>
      </c>
      <c r="C2701" t="n">
        <v>41.2336</v>
      </c>
    </row>
    <row r="2702">
      <c r="A2702" t="inlineStr">
        <is>
          <t>2026-07-08</t>
        </is>
      </c>
      <c r="B2702" t="n">
        <v>23.8137</v>
      </c>
      <c r="C2702" t="n">
        <v>40.6569</v>
      </c>
    </row>
    <row r="2703">
      <c r="A2703" t="inlineStr">
        <is>
          <t>2026-07-09</t>
        </is>
      </c>
      <c r="B2703" t="n">
        <v>24.2084</v>
      </c>
      <c r="C2703" t="n">
        <v>41.3267</v>
      </c>
    </row>
    <row r="2704">
      <c r="A2704" t="inlineStr">
        <is>
          <t>2026-07-10</t>
        </is>
      </c>
      <c r="B2704" t="n">
        <v>24.3677</v>
      </c>
      <c r="C2704" t="n">
        <v>41.5996</v>
      </c>
    </row>
    <row r="2705">
      <c r="A2705" t="inlineStr">
        <is>
          <t>2026-07-13</t>
        </is>
      </c>
      <c r="B2705" t="n">
        <v>24.4677</v>
      </c>
      <c r="C2705" t="n">
        <v>41.7693</v>
      </c>
    </row>
    <row r="2706">
      <c r="A2706" t="inlineStr">
        <is>
          <t>2026-07-14</t>
        </is>
      </c>
      <c r="B2706" t="n">
        <v>24.4634</v>
      </c>
      <c r="C2706" t="n">
        <v>41.7624</v>
      </c>
    </row>
    <row r="2707">
      <c r="A2707" t="inlineStr">
        <is>
          <t>2026-07-15</t>
        </is>
      </c>
      <c r="B2707" t="n">
        <v>24.541</v>
      </c>
      <c r="C2707" t="n">
        <v>41.8957</v>
      </c>
    </row>
    <row r="2708">
      <c r="A2708" t="inlineStr">
        <is>
          <t>2026-07-16</t>
        </is>
      </c>
      <c r="B2708" t="n">
        <v>24.7091</v>
      </c>
      <c r="C2708" t="n">
        <v>42.1838</v>
      </c>
    </row>
    <row r="2709">
      <c r="A2709" t="inlineStr">
        <is>
          <t>2026-07-17</t>
        </is>
      </c>
      <c r="B2709" t="n">
        <v>24.86</v>
      </c>
      <c r="C2709" t="n">
        <v>42.4369</v>
      </c>
    </row>
    <row r="2710">
      <c r="A2710" t="inlineStr">
        <is>
          <t>2026-07-20</t>
        </is>
      </c>
      <c r="B2710" t="n">
        <v>25.0561</v>
      </c>
      <c r="C2710" t="n">
        <v>42.7707</v>
      </c>
    </row>
    <row r="2711">
      <c r="A2711" t="inlineStr">
        <is>
          <t>2026-07-21</t>
        </is>
      </c>
      <c r="B2711" t="n">
        <v>25.1251</v>
      </c>
      <c r="C2711" t="n">
        <v>42.8885</v>
      </c>
    </row>
    <row r="2712">
      <c r="A2712" t="inlineStr">
        <is>
          <t>2026-07-22</t>
        </is>
      </c>
      <c r="B2712" t="n">
        <v>24.8766</v>
      </c>
      <c r="C2712" t="n">
        <v>42.4663</v>
      </c>
    </row>
    <row r="2713">
      <c r="A2713" t="inlineStr">
        <is>
          <t>2026-07-23</t>
        </is>
      </c>
      <c r="B2713" t="n">
        <v>24.84</v>
      </c>
      <c r="C2713" t="n">
        <v>42.4045</v>
      </c>
    </row>
    <row r="2714">
      <c r="A2714" t="inlineStr">
        <is>
          <t>2026-07-24</t>
        </is>
      </c>
      <c r="B2714" t="n">
        <v>24.9507</v>
      </c>
      <c r="C2714" t="n">
        <v>42.5934</v>
      </c>
    </row>
    <row r="2715">
      <c r="A2715" t="inlineStr">
        <is>
          <t>2026-07-27</t>
        </is>
      </c>
      <c r="B2715" t="n">
        <v>24.8106</v>
      </c>
      <c r="C2715" t="n">
        <v>42.3541</v>
      </c>
    </row>
    <row r="2716">
      <c r="A2716" t="inlineStr">
        <is>
          <t>2026-07-30</t>
        </is>
      </c>
      <c r="B2716" t="n">
        <v>24.5836</v>
      </c>
      <c r="C2716" t="n">
        <v>41.9642</v>
      </c>
    </row>
    <row r="2717">
      <c r="A2717" t="inlineStr">
        <is>
          <t>2026-07-31</t>
        </is>
      </c>
      <c r="B2717" t="n">
        <v>24.865</v>
      </c>
      <c r="C2717" t="n">
        <v>42.44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16"/>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0" customWidth="1" min="3" max="3"/>
    <col width="14" customWidth="1" min="6" max="6"/>
    <col width="18" customWidth="1" min="7" max="7"/>
    <col width="18" customWidth="1" min="8" max="8"/>
    <col width="16" customWidth="1" min="9" max="9"/>
    <col width="16" customWidth="1" min="10" max="10"/>
  </cols>
  <sheetData>
    <row r="1">
      <c r="A1" s="1" t="inlineStr">
        <is>
          <t>nav_date</t>
        </is>
      </c>
      <c r="B1" s="1" t="inlineStr">
        <is>
          <t>M0155_2547 return</t>
        </is>
      </c>
      <c r="C1" s="1" t="inlineStr">
        <is>
          <t>M0209_2548 return</t>
        </is>
      </c>
      <c r="F1" s="3" t="inlineStr">
        <is>
          <t>TEST WINDOW — request.timePeriod 2024-02-29..2024-05-31, dataFrequency=monthly</t>
        </is>
      </c>
    </row>
    <row r="2">
      <c r="A2" s="4" t="inlineStr"/>
      <c r="B2">
        <f>IFERROR(NAV!B3/NAV!B2-1,"")</f>
        <v/>
      </c>
      <c r="C2">
        <f>IFERROR(NAV!C3/NAV!C2-1,"")</f>
        <v/>
      </c>
      <c r="F2" s="4" t="inlineStr">
        <is>
          <t>Month-end anchors pulled out of NAV by INDEX/MATCH (live). 2024-03-29 is March's anchor: 2024-03-30/31 were non-trading days. 4 anchors -&gt; 3 monthly returns (the brief said 4; the real calendar yields 3, matching result.json's 3-element monthlyReturnsPct).</t>
        </is>
      </c>
    </row>
    <row r="3">
      <c r="A3">
        <f>NAV!A4</f>
        <v/>
      </c>
      <c r="B3">
        <f>IFERROR(NAV!B4/NAV!B3-1,"")</f>
        <v/>
      </c>
      <c r="C3">
        <f>IFERROR(NAV!C4/NAV!C3-1,"")</f>
        <v/>
      </c>
      <c r="F3" s="1" t="inlineStr">
        <is>
          <t>month_end</t>
        </is>
      </c>
      <c r="G3" s="1" t="inlineStr">
        <is>
          <t>NAV M0155_2547</t>
        </is>
      </c>
      <c r="H3" s="1" t="inlineStr">
        <is>
          <t>NAV M0209_2548</t>
        </is>
      </c>
      <c r="I3" s="1" t="inlineStr">
        <is>
          <t>ret M0155_2547</t>
        </is>
      </c>
      <c r="J3" s="1" t="inlineStr">
        <is>
          <t>ret M0209_2548</t>
        </is>
      </c>
    </row>
    <row r="4">
      <c r="A4">
        <f>NAV!A5</f>
        <v/>
      </c>
      <c r="B4">
        <f>IFERROR(NAV!B5/NAV!B4-1,"")</f>
        <v/>
      </c>
      <c r="C4">
        <f>IFERROR(NAV!C5/NAV!C4-1,"")</f>
        <v/>
      </c>
      <c r="F4" t="inlineStr">
        <is>
          <t>2024-02-29</t>
        </is>
      </c>
      <c r="G4">
        <f>INDEX(NAV!B:B,MATCH($F4,NAV!$A:$A,0))</f>
        <v/>
      </c>
      <c r="H4">
        <f>INDEX(NAV!C:C,MATCH($F4,NAV!$A:$A,0))</f>
        <v/>
      </c>
    </row>
    <row r="5">
      <c r="A5">
        <f>NAV!A6</f>
        <v/>
      </c>
      <c r="B5">
        <f>IFERROR(NAV!B6/NAV!B5-1,"")</f>
        <v/>
      </c>
      <c r="C5">
        <f>IFERROR(NAV!C6/NAV!C5-1,"")</f>
        <v/>
      </c>
      <c r="F5" t="inlineStr">
        <is>
          <t>2024-03-29</t>
        </is>
      </c>
      <c r="G5">
        <f>INDEX(NAV!B:B,MATCH($F5,NAV!$A:$A,0))</f>
        <v/>
      </c>
      <c r="H5">
        <f>INDEX(NAV!C:C,MATCH($F5,NAV!$A:$A,0))</f>
        <v/>
      </c>
      <c r="I5">
        <f>G5/G4-1</f>
        <v/>
      </c>
      <c r="J5">
        <f>H5/H4-1</f>
        <v/>
      </c>
    </row>
    <row r="6">
      <c r="A6">
        <f>NAV!A7</f>
        <v/>
      </c>
      <c r="B6">
        <f>IFERROR(NAV!B7/NAV!B6-1,"")</f>
        <v/>
      </c>
      <c r="C6">
        <f>IFERROR(NAV!C7/NAV!C6-1,"")</f>
        <v/>
      </c>
      <c r="F6" t="inlineStr">
        <is>
          <t>2024-04-30</t>
        </is>
      </c>
      <c r="G6">
        <f>INDEX(NAV!B:B,MATCH($F6,NAV!$A:$A,0))</f>
        <v/>
      </c>
      <c r="H6">
        <f>INDEX(NAV!C:C,MATCH($F6,NAV!$A:$A,0))</f>
        <v/>
      </c>
      <c r="I6">
        <f>G6/G5-1</f>
        <v/>
      </c>
      <c r="J6">
        <f>H6/H5-1</f>
        <v/>
      </c>
    </row>
    <row r="7">
      <c r="A7">
        <f>NAV!A8</f>
        <v/>
      </c>
      <c r="B7">
        <f>IFERROR(NAV!B8/NAV!B7-1,"")</f>
        <v/>
      </c>
      <c r="C7">
        <f>IFERROR(NAV!C8/NAV!C7-1,"")</f>
        <v/>
      </c>
      <c r="F7" t="inlineStr">
        <is>
          <t>2024-05-31</t>
        </is>
      </c>
      <c r="G7">
        <f>INDEX(NAV!B:B,MATCH($F7,NAV!$A:$A,0))</f>
        <v/>
      </c>
      <c r="H7">
        <f>INDEX(NAV!C:C,MATCH($F7,NAV!$A:$A,0))</f>
        <v/>
      </c>
      <c r="I7">
        <f>G7/G6-1</f>
        <v/>
      </c>
      <c r="J7">
        <f>H7/H6-1</f>
        <v/>
      </c>
    </row>
    <row r="8">
      <c r="A8">
        <f>NAV!A9</f>
        <v/>
      </c>
      <c r="B8">
        <f>IFERROR(NAV!B9/NAV!B8-1,"")</f>
        <v/>
      </c>
      <c r="C8">
        <f>IFERROR(NAV!C9/NAV!C8-1,"")</f>
        <v/>
      </c>
    </row>
    <row r="9">
      <c r="A9">
        <f>NAV!A10</f>
        <v/>
      </c>
      <c r="B9">
        <f>IFERROR(NAV!B10/NAV!B9-1,"")</f>
        <v/>
      </c>
      <c r="C9">
        <f>IFERROR(NAV!C10/NAV!C9-1,"")</f>
        <v/>
      </c>
      <c r="F9" t="inlineStr">
        <is>
          <t>Test-window return count (live)</t>
        </is>
      </c>
      <c r="G9">
        <f>COUNT(Returns!$J$5:$J$7)</f>
        <v/>
      </c>
    </row>
    <row r="10">
      <c r="A10">
        <f>NAV!A11</f>
        <v/>
      </c>
      <c r="B10">
        <f>IFERROR(NAV!B11/NAV!B10-1,"")</f>
        <v/>
      </c>
      <c r="C10">
        <f>IFERROR(NAV!C11/NAV!C10-1,"")</f>
        <v/>
      </c>
      <c r="F10" t="inlineStr">
        <is>
          <t>Periods per year (m)</t>
        </is>
      </c>
      <c r="G10" t="n">
        <v>12</v>
      </c>
    </row>
    <row r="11">
      <c r="A11">
        <f>NAV!A12</f>
        <v/>
      </c>
      <c r="B11">
        <f>IFERROR(NAV!B12/NAV!B11-1,"")</f>
        <v/>
      </c>
      <c r="C11">
        <f>IFERROR(NAV!C12/NAV!C11-1,"")</f>
        <v/>
      </c>
      <c r="F11" t="inlineStr">
        <is>
          <t>Risk-free rate % p.a. (request.constraints.riskFreeRatePct)</t>
        </is>
      </c>
      <c r="G11" t="n">
        <v>1.5</v>
      </c>
    </row>
    <row r="12">
      <c r="A12">
        <f>NAV!A13</f>
        <v/>
      </c>
      <c r="B12">
        <f>IFERROR(NAV!B13/NAV!B12-1,"")</f>
        <v/>
      </c>
      <c r="C12">
        <f>IFERROR(NAV!C13/NAV!C12-1,"")</f>
        <v/>
      </c>
    </row>
    <row r="13">
      <c r="A13">
        <f>NAV!A14</f>
        <v/>
      </c>
      <c r="B13">
        <f>IFERROR(NAV!B14/NAV!B13-1,"")</f>
        <v/>
      </c>
      <c r="C13">
        <f>IFERROR(NAV!C14/NAV!C13-1,"")</f>
        <v/>
      </c>
    </row>
    <row r="14">
      <c r="A14">
        <f>NAV!A15</f>
        <v/>
      </c>
      <c r="B14">
        <f>IFERROR(NAV!B15/NAV!B14-1,"")</f>
        <v/>
      </c>
      <c r="C14">
        <f>IFERROR(NAV!C15/NAV!C14-1,"")</f>
        <v/>
      </c>
    </row>
    <row r="15">
      <c r="A15">
        <f>NAV!A16</f>
        <v/>
      </c>
      <c r="B15">
        <f>IFERROR(NAV!B16/NAV!B15-1,"")</f>
        <v/>
      </c>
      <c r="C15">
        <f>IFERROR(NAV!C16/NAV!C15-1,"")</f>
        <v/>
      </c>
    </row>
    <row r="16">
      <c r="A16">
        <f>NAV!A17</f>
        <v/>
      </c>
      <c r="B16">
        <f>IFERROR(NAV!B17/NAV!B16-1,"")</f>
        <v/>
      </c>
      <c r="C16">
        <f>IFERROR(NAV!C17/NAV!C16-1,"")</f>
        <v/>
      </c>
    </row>
    <row r="17">
      <c r="A17">
        <f>NAV!A18</f>
        <v/>
      </c>
      <c r="B17">
        <f>IFERROR(NAV!B18/NAV!B17-1,"")</f>
        <v/>
      </c>
      <c r="C17">
        <f>IFERROR(NAV!C18/NAV!C17-1,"")</f>
        <v/>
      </c>
    </row>
    <row r="18">
      <c r="A18">
        <f>NAV!A19</f>
        <v/>
      </c>
      <c r="B18">
        <f>IFERROR(NAV!B19/NAV!B18-1,"")</f>
        <v/>
      </c>
      <c r="C18">
        <f>IFERROR(NAV!C19/NAV!C18-1,"")</f>
        <v/>
      </c>
    </row>
    <row r="19">
      <c r="A19">
        <f>NAV!A20</f>
        <v/>
      </c>
      <c r="B19">
        <f>IFERROR(NAV!B20/NAV!B19-1,"")</f>
        <v/>
      </c>
      <c r="C19">
        <f>IFERROR(NAV!C20/NAV!C19-1,"")</f>
        <v/>
      </c>
    </row>
    <row r="20">
      <c r="A20">
        <f>NAV!A21</f>
        <v/>
      </c>
      <c r="B20">
        <f>IFERROR(NAV!B21/NAV!B20-1,"")</f>
        <v/>
      </c>
      <c r="C20">
        <f>IFERROR(NAV!C21/NAV!C20-1,"")</f>
        <v/>
      </c>
    </row>
    <row r="21">
      <c r="A21">
        <f>NAV!A22</f>
        <v/>
      </c>
      <c r="B21">
        <f>IFERROR(NAV!B22/NAV!B21-1,"")</f>
        <v/>
      </c>
      <c r="C21">
        <f>IFERROR(NAV!C22/NAV!C21-1,"")</f>
        <v/>
      </c>
    </row>
    <row r="22">
      <c r="A22">
        <f>NAV!A23</f>
        <v/>
      </c>
      <c r="B22">
        <f>IFERROR(NAV!B23/NAV!B22-1,"")</f>
        <v/>
      </c>
      <c r="C22">
        <f>IFERROR(NAV!C23/NAV!C22-1,"")</f>
        <v/>
      </c>
    </row>
    <row r="23">
      <c r="A23">
        <f>NAV!A24</f>
        <v/>
      </c>
      <c r="B23">
        <f>IFERROR(NAV!B24/NAV!B23-1,"")</f>
        <v/>
      </c>
      <c r="C23">
        <f>IFERROR(NAV!C24/NAV!C23-1,"")</f>
        <v/>
      </c>
    </row>
    <row r="24">
      <c r="A24">
        <f>NAV!A25</f>
        <v/>
      </c>
      <c r="B24">
        <f>IFERROR(NAV!B25/NAV!B24-1,"")</f>
        <v/>
      </c>
      <c r="C24">
        <f>IFERROR(NAV!C25/NAV!C24-1,"")</f>
        <v/>
      </c>
    </row>
    <row r="25">
      <c r="A25">
        <f>NAV!A26</f>
        <v/>
      </c>
      <c r="B25">
        <f>IFERROR(NAV!B26/NAV!B25-1,"")</f>
        <v/>
      </c>
      <c r="C25">
        <f>IFERROR(NAV!C26/NAV!C25-1,"")</f>
        <v/>
      </c>
    </row>
    <row r="26">
      <c r="A26">
        <f>NAV!A27</f>
        <v/>
      </c>
      <c r="B26">
        <f>IFERROR(NAV!B27/NAV!B26-1,"")</f>
        <v/>
      </c>
      <c r="C26">
        <f>IFERROR(NAV!C27/NAV!C26-1,"")</f>
        <v/>
      </c>
    </row>
    <row r="27">
      <c r="A27">
        <f>NAV!A28</f>
        <v/>
      </c>
      <c r="B27">
        <f>IFERROR(NAV!B28/NAV!B27-1,"")</f>
        <v/>
      </c>
      <c r="C27">
        <f>IFERROR(NAV!C28/NAV!C27-1,"")</f>
        <v/>
      </c>
    </row>
    <row r="28">
      <c r="A28">
        <f>NAV!A29</f>
        <v/>
      </c>
      <c r="B28">
        <f>IFERROR(NAV!B29/NAV!B28-1,"")</f>
        <v/>
      </c>
      <c r="C28">
        <f>IFERROR(NAV!C29/NAV!C28-1,"")</f>
        <v/>
      </c>
    </row>
    <row r="29">
      <c r="A29">
        <f>NAV!A30</f>
        <v/>
      </c>
      <c r="B29">
        <f>IFERROR(NAV!B30/NAV!B29-1,"")</f>
        <v/>
      </c>
      <c r="C29">
        <f>IFERROR(NAV!C30/NAV!C29-1,"")</f>
        <v/>
      </c>
    </row>
    <row r="30">
      <c r="A30">
        <f>NAV!A31</f>
        <v/>
      </c>
      <c r="B30">
        <f>IFERROR(NAV!B31/NAV!B30-1,"")</f>
        <v/>
      </c>
      <c r="C30">
        <f>IFERROR(NAV!C31/NAV!C30-1,"")</f>
        <v/>
      </c>
    </row>
    <row r="31">
      <c r="A31">
        <f>NAV!A32</f>
        <v/>
      </c>
      <c r="B31">
        <f>IFERROR(NAV!B32/NAV!B31-1,"")</f>
        <v/>
      </c>
      <c r="C31">
        <f>IFERROR(NAV!C32/NAV!C31-1,"")</f>
        <v/>
      </c>
    </row>
    <row r="32">
      <c r="A32">
        <f>NAV!A33</f>
        <v/>
      </c>
      <c r="B32">
        <f>IFERROR(NAV!B33/NAV!B32-1,"")</f>
        <v/>
      </c>
      <c r="C32">
        <f>IFERROR(NAV!C33/NAV!C32-1,"")</f>
        <v/>
      </c>
    </row>
    <row r="33">
      <c r="A33">
        <f>NAV!A34</f>
        <v/>
      </c>
      <c r="B33">
        <f>IFERROR(NAV!B34/NAV!B33-1,"")</f>
        <v/>
      </c>
      <c r="C33">
        <f>IFERROR(NAV!C34/NAV!C33-1,"")</f>
        <v/>
      </c>
    </row>
    <row r="34">
      <c r="A34">
        <f>NAV!A35</f>
        <v/>
      </c>
      <c r="B34">
        <f>IFERROR(NAV!B35/NAV!B34-1,"")</f>
        <v/>
      </c>
      <c r="C34">
        <f>IFERROR(NAV!C35/NAV!C34-1,"")</f>
        <v/>
      </c>
    </row>
    <row r="35">
      <c r="A35">
        <f>NAV!A36</f>
        <v/>
      </c>
      <c r="B35">
        <f>IFERROR(NAV!B36/NAV!B35-1,"")</f>
        <v/>
      </c>
      <c r="C35">
        <f>IFERROR(NAV!C36/NAV!C35-1,"")</f>
        <v/>
      </c>
    </row>
    <row r="36">
      <c r="A36">
        <f>NAV!A37</f>
        <v/>
      </c>
      <c r="B36">
        <f>IFERROR(NAV!B37/NAV!B36-1,"")</f>
        <v/>
      </c>
      <c r="C36">
        <f>IFERROR(NAV!C37/NAV!C36-1,"")</f>
        <v/>
      </c>
    </row>
    <row r="37">
      <c r="A37">
        <f>NAV!A38</f>
        <v/>
      </c>
      <c r="B37">
        <f>IFERROR(NAV!B38/NAV!B37-1,"")</f>
        <v/>
      </c>
      <c r="C37">
        <f>IFERROR(NAV!C38/NAV!C37-1,"")</f>
        <v/>
      </c>
    </row>
    <row r="38">
      <c r="A38">
        <f>NAV!A39</f>
        <v/>
      </c>
      <c r="B38">
        <f>IFERROR(NAV!B39/NAV!B38-1,"")</f>
        <v/>
      </c>
      <c r="C38">
        <f>IFERROR(NAV!C39/NAV!C38-1,"")</f>
        <v/>
      </c>
    </row>
    <row r="39">
      <c r="A39">
        <f>NAV!A40</f>
        <v/>
      </c>
      <c r="B39">
        <f>IFERROR(NAV!B40/NAV!B39-1,"")</f>
        <v/>
      </c>
      <c r="C39">
        <f>IFERROR(NAV!C40/NAV!C39-1,"")</f>
        <v/>
      </c>
    </row>
    <row r="40">
      <c r="A40">
        <f>NAV!A41</f>
        <v/>
      </c>
      <c r="B40">
        <f>IFERROR(NAV!B41/NAV!B40-1,"")</f>
        <v/>
      </c>
      <c r="C40">
        <f>IFERROR(NAV!C41/NAV!C40-1,"")</f>
        <v/>
      </c>
    </row>
    <row r="41">
      <c r="A41">
        <f>NAV!A42</f>
        <v/>
      </c>
      <c r="B41">
        <f>IFERROR(NAV!B42/NAV!B41-1,"")</f>
        <v/>
      </c>
      <c r="C41">
        <f>IFERROR(NAV!C42/NAV!C41-1,"")</f>
        <v/>
      </c>
    </row>
    <row r="42">
      <c r="A42">
        <f>NAV!A43</f>
        <v/>
      </c>
      <c r="B42">
        <f>IFERROR(NAV!B43/NAV!B42-1,"")</f>
        <v/>
      </c>
      <c r="C42">
        <f>IFERROR(NAV!C43/NAV!C42-1,"")</f>
        <v/>
      </c>
    </row>
    <row r="43">
      <c r="A43">
        <f>NAV!A44</f>
        <v/>
      </c>
      <c r="B43">
        <f>IFERROR(NAV!B44/NAV!B43-1,"")</f>
        <v/>
      </c>
      <c r="C43">
        <f>IFERROR(NAV!C44/NAV!C43-1,"")</f>
        <v/>
      </c>
    </row>
    <row r="44">
      <c r="A44">
        <f>NAV!A45</f>
        <v/>
      </c>
      <c r="B44">
        <f>IFERROR(NAV!B45/NAV!B44-1,"")</f>
        <v/>
      </c>
      <c r="C44">
        <f>IFERROR(NAV!C45/NAV!C44-1,"")</f>
        <v/>
      </c>
    </row>
    <row r="45">
      <c r="A45">
        <f>NAV!A46</f>
        <v/>
      </c>
      <c r="B45">
        <f>IFERROR(NAV!B46/NAV!B45-1,"")</f>
        <v/>
      </c>
      <c r="C45">
        <f>IFERROR(NAV!C46/NAV!C45-1,"")</f>
        <v/>
      </c>
    </row>
    <row r="46">
      <c r="A46">
        <f>NAV!A47</f>
        <v/>
      </c>
      <c r="B46">
        <f>IFERROR(NAV!B47/NAV!B46-1,"")</f>
        <v/>
      </c>
      <c r="C46">
        <f>IFERROR(NAV!C47/NAV!C46-1,"")</f>
        <v/>
      </c>
    </row>
    <row r="47">
      <c r="A47">
        <f>NAV!A48</f>
        <v/>
      </c>
      <c r="B47">
        <f>IFERROR(NAV!B48/NAV!B47-1,"")</f>
        <v/>
      </c>
      <c r="C47">
        <f>IFERROR(NAV!C48/NAV!C47-1,"")</f>
        <v/>
      </c>
    </row>
    <row r="48">
      <c r="A48">
        <f>NAV!A49</f>
        <v/>
      </c>
      <c r="B48">
        <f>IFERROR(NAV!B49/NAV!B48-1,"")</f>
        <v/>
      </c>
      <c r="C48">
        <f>IFERROR(NAV!C49/NAV!C48-1,"")</f>
        <v/>
      </c>
    </row>
    <row r="49">
      <c r="A49">
        <f>NAV!A50</f>
        <v/>
      </c>
      <c r="B49">
        <f>IFERROR(NAV!B50/NAV!B49-1,"")</f>
        <v/>
      </c>
      <c r="C49">
        <f>IFERROR(NAV!C50/NAV!C49-1,"")</f>
        <v/>
      </c>
    </row>
    <row r="50">
      <c r="A50">
        <f>NAV!A51</f>
        <v/>
      </c>
      <c r="B50">
        <f>IFERROR(NAV!B51/NAV!B50-1,"")</f>
        <v/>
      </c>
      <c r="C50">
        <f>IFERROR(NAV!C51/NAV!C50-1,"")</f>
        <v/>
      </c>
    </row>
    <row r="51">
      <c r="A51">
        <f>NAV!A52</f>
        <v/>
      </c>
      <c r="B51">
        <f>IFERROR(NAV!B52/NAV!B51-1,"")</f>
        <v/>
      </c>
      <c r="C51">
        <f>IFERROR(NAV!C52/NAV!C51-1,"")</f>
        <v/>
      </c>
    </row>
    <row r="52">
      <c r="A52">
        <f>NAV!A53</f>
        <v/>
      </c>
      <c r="B52">
        <f>IFERROR(NAV!B53/NAV!B52-1,"")</f>
        <v/>
      </c>
      <c r="C52">
        <f>IFERROR(NAV!C53/NAV!C52-1,"")</f>
        <v/>
      </c>
    </row>
    <row r="53">
      <c r="A53">
        <f>NAV!A54</f>
        <v/>
      </c>
      <c r="B53">
        <f>IFERROR(NAV!B54/NAV!B53-1,"")</f>
        <v/>
      </c>
      <c r="C53">
        <f>IFERROR(NAV!C54/NAV!C53-1,"")</f>
        <v/>
      </c>
    </row>
    <row r="54">
      <c r="A54">
        <f>NAV!A55</f>
        <v/>
      </c>
      <c r="B54">
        <f>IFERROR(NAV!B55/NAV!B54-1,"")</f>
        <v/>
      </c>
      <c r="C54">
        <f>IFERROR(NAV!C55/NAV!C54-1,"")</f>
        <v/>
      </c>
    </row>
    <row r="55">
      <c r="A55">
        <f>NAV!A56</f>
        <v/>
      </c>
      <c r="B55">
        <f>IFERROR(NAV!B56/NAV!B55-1,"")</f>
        <v/>
      </c>
      <c r="C55">
        <f>IFERROR(NAV!C56/NAV!C55-1,"")</f>
        <v/>
      </c>
    </row>
    <row r="56">
      <c r="A56">
        <f>NAV!A57</f>
        <v/>
      </c>
      <c r="B56">
        <f>IFERROR(NAV!B57/NAV!B56-1,"")</f>
        <v/>
      </c>
      <c r="C56">
        <f>IFERROR(NAV!C57/NAV!C56-1,"")</f>
        <v/>
      </c>
    </row>
    <row r="57">
      <c r="A57">
        <f>NAV!A58</f>
        <v/>
      </c>
      <c r="B57">
        <f>IFERROR(NAV!B58/NAV!B57-1,"")</f>
        <v/>
      </c>
      <c r="C57">
        <f>IFERROR(NAV!C58/NAV!C57-1,"")</f>
        <v/>
      </c>
    </row>
    <row r="58">
      <c r="A58">
        <f>NAV!A59</f>
        <v/>
      </c>
      <c r="B58">
        <f>IFERROR(NAV!B59/NAV!B58-1,"")</f>
        <v/>
      </c>
      <c r="C58">
        <f>IFERROR(NAV!C59/NAV!C58-1,"")</f>
        <v/>
      </c>
    </row>
    <row r="59">
      <c r="A59">
        <f>NAV!A60</f>
        <v/>
      </c>
      <c r="B59">
        <f>IFERROR(NAV!B60/NAV!B59-1,"")</f>
        <v/>
      </c>
      <c r="C59">
        <f>IFERROR(NAV!C60/NAV!C59-1,"")</f>
        <v/>
      </c>
    </row>
    <row r="60">
      <c r="A60">
        <f>NAV!A61</f>
        <v/>
      </c>
      <c r="B60">
        <f>IFERROR(NAV!B61/NAV!B60-1,"")</f>
        <v/>
      </c>
      <c r="C60">
        <f>IFERROR(NAV!C61/NAV!C60-1,"")</f>
        <v/>
      </c>
    </row>
    <row r="61">
      <c r="A61">
        <f>NAV!A62</f>
        <v/>
      </c>
      <c r="B61">
        <f>IFERROR(NAV!B62/NAV!B61-1,"")</f>
        <v/>
      </c>
      <c r="C61">
        <f>IFERROR(NAV!C62/NAV!C61-1,"")</f>
        <v/>
      </c>
    </row>
    <row r="62">
      <c r="A62">
        <f>NAV!A63</f>
        <v/>
      </c>
      <c r="B62">
        <f>IFERROR(NAV!B63/NAV!B62-1,"")</f>
        <v/>
      </c>
      <c r="C62">
        <f>IFERROR(NAV!C63/NAV!C62-1,"")</f>
        <v/>
      </c>
    </row>
    <row r="63">
      <c r="A63">
        <f>NAV!A64</f>
        <v/>
      </c>
      <c r="B63">
        <f>IFERROR(NAV!B64/NAV!B63-1,"")</f>
        <v/>
      </c>
      <c r="C63">
        <f>IFERROR(NAV!C64/NAV!C63-1,"")</f>
        <v/>
      </c>
    </row>
    <row r="64">
      <c r="A64">
        <f>NAV!A65</f>
        <v/>
      </c>
      <c r="B64">
        <f>IFERROR(NAV!B65/NAV!B64-1,"")</f>
        <v/>
      </c>
      <c r="C64">
        <f>IFERROR(NAV!C65/NAV!C64-1,"")</f>
        <v/>
      </c>
    </row>
    <row r="65">
      <c r="A65">
        <f>NAV!A66</f>
        <v/>
      </c>
      <c r="B65">
        <f>IFERROR(NAV!B66/NAV!B65-1,"")</f>
        <v/>
      </c>
      <c r="C65">
        <f>IFERROR(NAV!C66/NAV!C65-1,"")</f>
        <v/>
      </c>
    </row>
    <row r="66">
      <c r="A66">
        <f>NAV!A67</f>
        <v/>
      </c>
      <c r="B66">
        <f>IFERROR(NAV!B67/NAV!B66-1,"")</f>
        <v/>
      </c>
      <c r="C66">
        <f>IFERROR(NAV!C67/NAV!C66-1,"")</f>
        <v/>
      </c>
    </row>
    <row r="67">
      <c r="A67">
        <f>NAV!A68</f>
        <v/>
      </c>
      <c r="B67">
        <f>IFERROR(NAV!B68/NAV!B67-1,"")</f>
        <v/>
      </c>
      <c r="C67">
        <f>IFERROR(NAV!C68/NAV!C67-1,"")</f>
        <v/>
      </c>
    </row>
    <row r="68">
      <c r="A68">
        <f>NAV!A69</f>
        <v/>
      </c>
      <c r="B68">
        <f>IFERROR(NAV!B69/NAV!B68-1,"")</f>
        <v/>
      </c>
      <c r="C68">
        <f>IFERROR(NAV!C69/NAV!C68-1,"")</f>
        <v/>
      </c>
    </row>
    <row r="69">
      <c r="A69">
        <f>NAV!A70</f>
        <v/>
      </c>
      <c r="B69">
        <f>IFERROR(NAV!B70/NAV!B69-1,"")</f>
        <v/>
      </c>
      <c r="C69">
        <f>IFERROR(NAV!C70/NAV!C69-1,"")</f>
        <v/>
      </c>
    </row>
    <row r="70">
      <c r="A70">
        <f>NAV!A71</f>
        <v/>
      </c>
      <c r="B70">
        <f>IFERROR(NAV!B71/NAV!B70-1,"")</f>
        <v/>
      </c>
      <c r="C70">
        <f>IFERROR(NAV!C71/NAV!C70-1,"")</f>
        <v/>
      </c>
    </row>
    <row r="71">
      <c r="A71">
        <f>NAV!A72</f>
        <v/>
      </c>
      <c r="B71">
        <f>IFERROR(NAV!B72/NAV!B71-1,"")</f>
        <v/>
      </c>
      <c r="C71">
        <f>IFERROR(NAV!C72/NAV!C71-1,"")</f>
        <v/>
      </c>
    </row>
    <row r="72">
      <c r="A72">
        <f>NAV!A73</f>
        <v/>
      </c>
      <c r="B72">
        <f>IFERROR(NAV!B73/NAV!B72-1,"")</f>
        <v/>
      </c>
      <c r="C72">
        <f>IFERROR(NAV!C73/NAV!C72-1,"")</f>
        <v/>
      </c>
    </row>
    <row r="73">
      <c r="A73">
        <f>NAV!A74</f>
        <v/>
      </c>
      <c r="B73">
        <f>IFERROR(NAV!B74/NAV!B73-1,"")</f>
        <v/>
      </c>
      <c r="C73">
        <f>IFERROR(NAV!C74/NAV!C73-1,"")</f>
        <v/>
      </c>
    </row>
    <row r="74">
      <c r="A74">
        <f>NAV!A75</f>
        <v/>
      </c>
      <c r="B74">
        <f>IFERROR(NAV!B75/NAV!B74-1,"")</f>
        <v/>
      </c>
      <c r="C74">
        <f>IFERROR(NAV!C75/NAV!C74-1,"")</f>
        <v/>
      </c>
    </row>
    <row r="75">
      <c r="A75">
        <f>NAV!A76</f>
        <v/>
      </c>
      <c r="B75">
        <f>IFERROR(NAV!B76/NAV!B75-1,"")</f>
        <v/>
      </c>
      <c r="C75">
        <f>IFERROR(NAV!C76/NAV!C75-1,"")</f>
        <v/>
      </c>
    </row>
    <row r="76">
      <c r="A76">
        <f>NAV!A77</f>
        <v/>
      </c>
      <c r="B76">
        <f>IFERROR(NAV!B77/NAV!B76-1,"")</f>
        <v/>
      </c>
      <c r="C76">
        <f>IFERROR(NAV!C77/NAV!C76-1,"")</f>
        <v/>
      </c>
    </row>
    <row r="77">
      <c r="A77">
        <f>NAV!A78</f>
        <v/>
      </c>
      <c r="B77">
        <f>IFERROR(NAV!B78/NAV!B77-1,"")</f>
        <v/>
      </c>
      <c r="C77">
        <f>IFERROR(NAV!C78/NAV!C77-1,"")</f>
        <v/>
      </c>
    </row>
    <row r="78">
      <c r="A78">
        <f>NAV!A79</f>
        <v/>
      </c>
      <c r="B78">
        <f>IFERROR(NAV!B79/NAV!B78-1,"")</f>
        <v/>
      </c>
      <c r="C78">
        <f>IFERROR(NAV!C79/NAV!C78-1,"")</f>
        <v/>
      </c>
    </row>
    <row r="79">
      <c r="A79">
        <f>NAV!A80</f>
        <v/>
      </c>
      <c r="B79">
        <f>IFERROR(NAV!B80/NAV!B79-1,"")</f>
        <v/>
      </c>
      <c r="C79">
        <f>IFERROR(NAV!C80/NAV!C79-1,"")</f>
        <v/>
      </c>
    </row>
    <row r="80">
      <c r="A80">
        <f>NAV!A81</f>
        <v/>
      </c>
      <c r="B80">
        <f>IFERROR(NAV!B81/NAV!B80-1,"")</f>
        <v/>
      </c>
      <c r="C80">
        <f>IFERROR(NAV!C81/NAV!C80-1,"")</f>
        <v/>
      </c>
    </row>
    <row r="81">
      <c r="A81">
        <f>NAV!A82</f>
        <v/>
      </c>
      <c r="B81">
        <f>IFERROR(NAV!B82/NAV!B81-1,"")</f>
        <v/>
      </c>
      <c r="C81">
        <f>IFERROR(NAV!C82/NAV!C81-1,"")</f>
        <v/>
      </c>
    </row>
    <row r="82">
      <c r="A82">
        <f>NAV!A83</f>
        <v/>
      </c>
      <c r="B82">
        <f>IFERROR(NAV!B83/NAV!B82-1,"")</f>
        <v/>
      </c>
      <c r="C82">
        <f>IFERROR(NAV!C83/NAV!C82-1,"")</f>
        <v/>
      </c>
    </row>
    <row r="83">
      <c r="A83">
        <f>NAV!A84</f>
        <v/>
      </c>
      <c r="B83">
        <f>IFERROR(NAV!B84/NAV!B83-1,"")</f>
        <v/>
      </c>
      <c r="C83">
        <f>IFERROR(NAV!C84/NAV!C83-1,"")</f>
        <v/>
      </c>
    </row>
    <row r="84">
      <c r="A84">
        <f>NAV!A85</f>
        <v/>
      </c>
      <c r="B84">
        <f>IFERROR(NAV!B85/NAV!B84-1,"")</f>
        <v/>
      </c>
      <c r="C84">
        <f>IFERROR(NAV!C85/NAV!C84-1,"")</f>
        <v/>
      </c>
    </row>
    <row r="85">
      <c r="A85">
        <f>NAV!A86</f>
        <v/>
      </c>
      <c r="B85">
        <f>IFERROR(NAV!B86/NAV!B85-1,"")</f>
        <v/>
      </c>
      <c r="C85">
        <f>IFERROR(NAV!C86/NAV!C85-1,"")</f>
        <v/>
      </c>
    </row>
    <row r="86">
      <c r="A86">
        <f>NAV!A87</f>
        <v/>
      </c>
      <c r="B86">
        <f>IFERROR(NAV!B87/NAV!B86-1,"")</f>
        <v/>
      </c>
      <c r="C86">
        <f>IFERROR(NAV!C87/NAV!C86-1,"")</f>
        <v/>
      </c>
    </row>
    <row r="87">
      <c r="A87">
        <f>NAV!A88</f>
        <v/>
      </c>
      <c r="B87">
        <f>IFERROR(NAV!B88/NAV!B87-1,"")</f>
        <v/>
      </c>
      <c r="C87">
        <f>IFERROR(NAV!C88/NAV!C87-1,"")</f>
        <v/>
      </c>
    </row>
    <row r="88">
      <c r="A88">
        <f>NAV!A89</f>
        <v/>
      </c>
      <c r="B88">
        <f>IFERROR(NAV!B89/NAV!B88-1,"")</f>
        <v/>
      </c>
      <c r="C88">
        <f>IFERROR(NAV!C89/NAV!C88-1,"")</f>
        <v/>
      </c>
    </row>
    <row r="89">
      <c r="A89">
        <f>NAV!A90</f>
        <v/>
      </c>
      <c r="B89">
        <f>IFERROR(NAV!B90/NAV!B89-1,"")</f>
        <v/>
      </c>
      <c r="C89">
        <f>IFERROR(NAV!C90/NAV!C89-1,"")</f>
        <v/>
      </c>
    </row>
    <row r="90">
      <c r="A90">
        <f>NAV!A91</f>
        <v/>
      </c>
      <c r="B90">
        <f>IFERROR(NAV!B91/NAV!B90-1,"")</f>
        <v/>
      </c>
      <c r="C90">
        <f>IFERROR(NAV!C91/NAV!C90-1,"")</f>
        <v/>
      </c>
    </row>
    <row r="91">
      <c r="A91">
        <f>NAV!A92</f>
        <v/>
      </c>
      <c r="B91">
        <f>IFERROR(NAV!B92/NAV!B91-1,"")</f>
        <v/>
      </c>
      <c r="C91">
        <f>IFERROR(NAV!C92/NAV!C91-1,"")</f>
        <v/>
      </c>
    </row>
    <row r="92">
      <c r="A92">
        <f>NAV!A93</f>
        <v/>
      </c>
      <c r="B92">
        <f>IFERROR(NAV!B93/NAV!B92-1,"")</f>
        <v/>
      </c>
      <c r="C92">
        <f>IFERROR(NAV!C93/NAV!C92-1,"")</f>
        <v/>
      </c>
    </row>
    <row r="93">
      <c r="A93">
        <f>NAV!A94</f>
        <v/>
      </c>
      <c r="B93">
        <f>IFERROR(NAV!B94/NAV!B93-1,"")</f>
        <v/>
      </c>
      <c r="C93">
        <f>IFERROR(NAV!C94/NAV!C93-1,"")</f>
        <v/>
      </c>
    </row>
    <row r="94">
      <c r="A94">
        <f>NAV!A95</f>
        <v/>
      </c>
      <c r="B94">
        <f>IFERROR(NAV!B95/NAV!B94-1,"")</f>
        <v/>
      </c>
      <c r="C94">
        <f>IFERROR(NAV!C95/NAV!C94-1,"")</f>
        <v/>
      </c>
    </row>
    <row r="95">
      <c r="A95">
        <f>NAV!A96</f>
        <v/>
      </c>
      <c r="B95">
        <f>IFERROR(NAV!B96/NAV!B95-1,"")</f>
        <v/>
      </c>
      <c r="C95">
        <f>IFERROR(NAV!C96/NAV!C95-1,"")</f>
        <v/>
      </c>
    </row>
    <row r="96">
      <c r="A96">
        <f>NAV!A97</f>
        <v/>
      </c>
      <c r="B96">
        <f>IFERROR(NAV!B97/NAV!B96-1,"")</f>
        <v/>
      </c>
      <c r="C96">
        <f>IFERROR(NAV!C97/NAV!C96-1,"")</f>
        <v/>
      </c>
    </row>
    <row r="97">
      <c r="A97">
        <f>NAV!A98</f>
        <v/>
      </c>
      <c r="B97">
        <f>IFERROR(NAV!B98/NAV!B97-1,"")</f>
        <v/>
      </c>
      <c r="C97">
        <f>IFERROR(NAV!C98/NAV!C97-1,"")</f>
        <v/>
      </c>
    </row>
    <row r="98">
      <c r="A98">
        <f>NAV!A99</f>
        <v/>
      </c>
      <c r="B98">
        <f>IFERROR(NAV!B99/NAV!B98-1,"")</f>
        <v/>
      </c>
      <c r="C98">
        <f>IFERROR(NAV!C99/NAV!C98-1,"")</f>
        <v/>
      </c>
    </row>
    <row r="99">
      <c r="A99">
        <f>NAV!A100</f>
        <v/>
      </c>
      <c r="B99">
        <f>IFERROR(NAV!B100/NAV!B99-1,"")</f>
        <v/>
      </c>
      <c r="C99">
        <f>IFERROR(NAV!C100/NAV!C99-1,"")</f>
        <v/>
      </c>
    </row>
    <row r="100">
      <c r="A100">
        <f>NAV!A101</f>
        <v/>
      </c>
      <c r="B100">
        <f>IFERROR(NAV!B101/NAV!B100-1,"")</f>
        <v/>
      </c>
      <c r="C100">
        <f>IFERROR(NAV!C101/NAV!C100-1,"")</f>
        <v/>
      </c>
    </row>
    <row r="101">
      <c r="A101">
        <f>NAV!A102</f>
        <v/>
      </c>
      <c r="B101">
        <f>IFERROR(NAV!B102/NAV!B101-1,"")</f>
        <v/>
      </c>
      <c r="C101">
        <f>IFERROR(NAV!C102/NAV!C101-1,"")</f>
        <v/>
      </c>
    </row>
    <row r="102">
      <c r="A102">
        <f>NAV!A103</f>
        <v/>
      </c>
      <c r="B102">
        <f>IFERROR(NAV!B103/NAV!B102-1,"")</f>
        <v/>
      </c>
      <c r="C102">
        <f>IFERROR(NAV!C103/NAV!C102-1,"")</f>
        <v/>
      </c>
    </row>
    <row r="103">
      <c r="A103">
        <f>NAV!A104</f>
        <v/>
      </c>
      <c r="B103">
        <f>IFERROR(NAV!B104/NAV!B103-1,"")</f>
        <v/>
      </c>
      <c r="C103">
        <f>IFERROR(NAV!C104/NAV!C103-1,"")</f>
        <v/>
      </c>
    </row>
    <row r="104">
      <c r="A104">
        <f>NAV!A105</f>
        <v/>
      </c>
      <c r="B104">
        <f>IFERROR(NAV!B105/NAV!B104-1,"")</f>
        <v/>
      </c>
      <c r="C104">
        <f>IFERROR(NAV!C105/NAV!C104-1,"")</f>
        <v/>
      </c>
    </row>
    <row r="105">
      <c r="A105">
        <f>NAV!A106</f>
        <v/>
      </c>
      <c r="B105">
        <f>IFERROR(NAV!B106/NAV!B105-1,"")</f>
        <v/>
      </c>
      <c r="C105">
        <f>IFERROR(NAV!C106/NAV!C105-1,"")</f>
        <v/>
      </c>
    </row>
    <row r="106">
      <c r="A106">
        <f>NAV!A107</f>
        <v/>
      </c>
      <c r="B106">
        <f>IFERROR(NAV!B107/NAV!B106-1,"")</f>
        <v/>
      </c>
      <c r="C106">
        <f>IFERROR(NAV!C107/NAV!C106-1,"")</f>
        <v/>
      </c>
    </row>
    <row r="107">
      <c r="A107">
        <f>NAV!A108</f>
        <v/>
      </c>
      <c r="B107">
        <f>IFERROR(NAV!B108/NAV!B107-1,"")</f>
        <v/>
      </c>
      <c r="C107">
        <f>IFERROR(NAV!C108/NAV!C107-1,"")</f>
        <v/>
      </c>
    </row>
    <row r="108">
      <c r="A108">
        <f>NAV!A109</f>
        <v/>
      </c>
      <c r="B108">
        <f>IFERROR(NAV!B109/NAV!B108-1,"")</f>
        <v/>
      </c>
      <c r="C108">
        <f>IFERROR(NAV!C109/NAV!C108-1,"")</f>
        <v/>
      </c>
    </row>
    <row r="109">
      <c r="A109">
        <f>NAV!A110</f>
        <v/>
      </c>
      <c r="B109">
        <f>IFERROR(NAV!B110/NAV!B109-1,"")</f>
        <v/>
      </c>
      <c r="C109">
        <f>IFERROR(NAV!C110/NAV!C109-1,"")</f>
        <v/>
      </c>
    </row>
    <row r="110">
      <c r="A110">
        <f>NAV!A111</f>
        <v/>
      </c>
      <c r="B110">
        <f>IFERROR(NAV!B111/NAV!B110-1,"")</f>
        <v/>
      </c>
      <c r="C110">
        <f>IFERROR(NAV!C111/NAV!C110-1,"")</f>
        <v/>
      </c>
    </row>
    <row r="111">
      <c r="A111">
        <f>NAV!A112</f>
        <v/>
      </c>
      <c r="B111">
        <f>IFERROR(NAV!B112/NAV!B111-1,"")</f>
        <v/>
      </c>
      <c r="C111">
        <f>IFERROR(NAV!C112/NAV!C111-1,"")</f>
        <v/>
      </c>
    </row>
    <row r="112">
      <c r="A112">
        <f>NAV!A113</f>
        <v/>
      </c>
      <c r="B112">
        <f>IFERROR(NAV!B113/NAV!B112-1,"")</f>
        <v/>
      </c>
      <c r="C112">
        <f>IFERROR(NAV!C113/NAV!C112-1,"")</f>
        <v/>
      </c>
    </row>
    <row r="113">
      <c r="A113">
        <f>NAV!A114</f>
        <v/>
      </c>
      <c r="B113">
        <f>IFERROR(NAV!B114/NAV!B113-1,"")</f>
        <v/>
      </c>
      <c r="C113">
        <f>IFERROR(NAV!C114/NAV!C113-1,"")</f>
        <v/>
      </c>
    </row>
    <row r="114">
      <c r="A114">
        <f>NAV!A115</f>
        <v/>
      </c>
      <c r="B114">
        <f>IFERROR(NAV!B115/NAV!B114-1,"")</f>
        <v/>
      </c>
      <c r="C114">
        <f>IFERROR(NAV!C115/NAV!C114-1,"")</f>
        <v/>
      </c>
    </row>
    <row r="115">
      <c r="A115">
        <f>NAV!A116</f>
        <v/>
      </c>
      <c r="B115">
        <f>IFERROR(NAV!B116/NAV!B115-1,"")</f>
        <v/>
      </c>
      <c r="C115">
        <f>IFERROR(NAV!C116/NAV!C115-1,"")</f>
        <v/>
      </c>
    </row>
    <row r="116">
      <c r="A116">
        <f>NAV!A117</f>
        <v/>
      </c>
      <c r="B116">
        <f>IFERROR(NAV!B117/NAV!B116-1,"")</f>
        <v/>
      </c>
      <c r="C116">
        <f>IFERROR(NAV!C117/NAV!C116-1,"")</f>
        <v/>
      </c>
    </row>
    <row r="117">
      <c r="A117">
        <f>NAV!A118</f>
        <v/>
      </c>
      <c r="B117">
        <f>IFERROR(NAV!B118/NAV!B117-1,"")</f>
        <v/>
      </c>
      <c r="C117">
        <f>IFERROR(NAV!C118/NAV!C117-1,"")</f>
        <v/>
      </c>
    </row>
    <row r="118">
      <c r="A118">
        <f>NAV!A119</f>
        <v/>
      </c>
      <c r="B118">
        <f>IFERROR(NAV!B119/NAV!B118-1,"")</f>
        <v/>
      </c>
      <c r="C118">
        <f>IFERROR(NAV!C119/NAV!C118-1,"")</f>
        <v/>
      </c>
    </row>
    <row r="119">
      <c r="A119">
        <f>NAV!A120</f>
        <v/>
      </c>
      <c r="B119">
        <f>IFERROR(NAV!B120/NAV!B119-1,"")</f>
        <v/>
      </c>
      <c r="C119">
        <f>IFERROR(NAV!C120/NAV!C119-1,"")</f>
        <v/>
      </c>
    </row>
    <row r="120">
      <c r="A120">
        <f>NAV!A121</f>
        <v/>
      </c>
      <c r="B120">
        <f>IFERROR(NAV!B121/NAV!B120-1,"")</f>
        <v/>
      </c>
      <c r="C120">
        <f>IFERROR(NAV!C121/NAV!C120-1,"")</f>
        <v/>
      </c>
    </row>
    <row r="121">
      <c r="A121">
        <f>NAV!A122</f>
        <v/>
      </c>
      <c r="B121">
        <f>IFERROR(NAV!B122/NAV!B121-1,"")</f>
        <v/>
      </c>
      <c r="C121">
        <f>IFERROR(NAV!C122/NAV!C121-1,"")</f>
        <v/>
      </c>
    </row>
    <row r="122">
      <c r="A122">
        <f>NAV!A123</f>
        <v/>
      </c>
      <c r="B122">
        <f>IFERROR(NAV!B123/NAV!B122-1,"")</f>
        <v/>
      </c>
      <c r="C122">
        <f>IFERROR(NAV!C123/NAV!C122-1,"")</f>
        <v/>
      </c>
    </row>
    <row r="123">
      <c r="A123">
        <f>NAV!A124</f>
        <v/>
      </c>
      <c r="B123">
        <f>IFERROR(NAV!B124/NAV!B123-1,"")</f>
        <v/>
      </c>
      <c r="C123">
        <f>IFERROR(NAV!C124/NAV!C123-1,"")</f>
        <v/>
      </c>
    </row>
    <row r="124">
      <c r="A124">
        <f>NAV!A125</f>
        <v/>
      </c>
      <c r="B124">
        <f>IFERROR(NAV!B125/NAV!B124-1,"")</f>
        <v/>
      </c>
      <c r="C124">
        <f>IFERROR(NAV!C125/NAV!C124-1,"")</f>
        <v/>
      </c>
    </row>
    <row r="125">
      <c r="A125">
        <f>NAV!A126</f>
        <v/>
      </c>
      <c r="B125">
        <f>IFERROR(NAV!B126/NAV!B125-1,"")</f>
        <v/>
      </c>
      <c r="C125">
        <f>IFERROR(NAV!C126/NAV!C125-1,"")</f>
        <v/>
      </c>
    </row>
    <row r="126">
      <c r="A126">
        <f>NAV!A127</f>
        <v/>
      </c>
      <c r="B126">
        <f>IFERROR(NAV!B127/NAV!B126-1,"")</f>
        <v/>
      </c>
      <c r="C126">
        <f>IFERROR(NAV!C127/NAV!C126-1,"")</f>
        <v/>
      </c>
    </row>
    <row r="127">
      <c r="A127">
        <f>NAV!A128</f>
        <v/>
      </c>
      <c r="B127">
        <f>IFERROR(NAV!B128/NAV!B127-1,"")</f>
        <v/>
      </c>
      <c r="C127">
        <f>IFERROR(NAV!C128/NAV!C127-1,"")</f>
        <v/>
      </c>
    </row>
    <row r="128">
      <c r="A128">
        <f>NAV!A129</f>
        <v/>
      </c>
      <c r="B128">
        <f>IFERROR(NAV!B129/NAV!B128-1,"")</f>
        <v/>
      </c>
      <c r="C128">
        <f>IFERROR(NAV!C129/NAV!C128-1,"")</f>
        <v/>
      </c>
    </row>
    <row r="129">
      <c r="A129">
        <f>NAV!A130</f>
        <v/>
      </c>
      <c r="B129">
        <f>IFERROR(NAV!B130/NAV!B129-1,"")</f>
        <v/>
      </c>
      <c r="C129">
        <f>IFERROR(NAV!C130/NAV!C129-1,"")</f>
        <v/>
      </c>
    </row>
    <row r="130">
      <c r="A130">
        <f>NAV!A131</f>
        <v/>
      </c>
      <c r="B130">
        <f>IFERROR(NAV!B131/NAV!B130-1,"")</f>
        <v/>
      </c>
      <c r="C130">
        <f>IFERROR(NAV!C131/NAV!C130-1,"")</f>
        <v/>
      </c>
    </row>
    <row r="131">
      <c r="A131">
        <f>NAV!A132</f>
        <v/>
      </c>
      <c r="B131">
        <f>IFERROR(NAV!B132/NAV!B131-1,"")</f>
        <v/>
      </c>
      <c r="C131">
        <f>IFERROR(NAV!C132/NAV!C131-1,"")</f>
        <v/>
      </c>
    </row>
    <row r="132">
      <c r="A132">
        <f>NAV!A133</f>
        <v/>
      </c>
      <c r="B132">
        <f>IFERROR(NAV!B133/NAV!B132-1,"")</f>
        <v/>
      </c>
      <c r="C132">
        <f>IFERROR(NAV!C133/NAV!C132-1,"")</f>
        <v/>
      </c>
    </row>
    <row r="133">
      <c r="A133">
        <f>NAV!A134</f>
        <v/>
      </c>
      <c r="B133">
        <f>IFERROR(NAV!B134/NAV!B133-1,"")</f>
        <v/>
      </c>
      <c r="C133">
        <f>IFERROR(NAV!C134/NAV!C133-1,"")</f>
        <v/>
      </c>
    </row>
    <row r="134">
      <c r="A134">
        <f>NAV!A135</f>
        <v/>
      </c>
      <c r="B134">
        <f>IFERROR(NAV!B135/NAV!B134-1,"")</f>
        <v/>
      </c>
      <c r="C134">
        <f>IFERROR(NAV!C135/NAV!C134-1,"")</f>
        <v/>
      </c>
    </row>
    <row r="135">
      <c r="A135">
        <f>NAV!A136</f>
        <v/>
      </c>
      <c r="B135">
        <f>IFERROR(NAV!B136/NAV!B135-1,"")</f>
        <v/>
      </c>
      <c r="C135">
        <f>IFERROR(NAV!C136/NAV!C135-1,"")</f>
        <v/>
      </c>
    </row>
    <row r="136">
      <c r="A136">
        <f>NAV!A137</f>
        <v/>
      </c>
      <c r="B136">
        <f>IFERROR(NAV!B137/NAV!B136-1,"")</f>
        <v/>
      </c>
      <c r="C136">
        <f>IFERROR(NAV!C137/NAV!C136-1,"")</f>
        <v/>
      </c>
    </row>
    <row r="137">
      <c r="A137">
        <f>NAV!A138</f>
        <v/>
      </c>
      <c r="B137">
        <f>IFERROR(NAV!B138/NAV!B137-1,"")</f>
        <v/>
      </c>
      <c r="C137">
        <f>IFERROR(NAV!C138/NAV!C137-1,"")</f>
        <v/>
      </c>
    </row>
    <row r="138">
      <c r="A138">
        <f>NAV!A139</f>
        <v/>
      </c>
      <c r="B138">
        <f>IFERROR(NAV!B139/NAV!B138-1,"")</f>
        <v/>
      </c>
      <c r="C138">
        <f>IFERROR(NAV!C139/NAV!C138-1,"")</f>
        <v/>
      </c>
    </row>
    <row r="139">
      <c r="A139">
        <f>NAV!A140</f>
        <v/>
      </c>
      <c r="B139">
        <f>IFERROR(NAV!B140/NAV!B139-1,"")</f>
        <v/>
      </c>
      <c r="C139">
        <f>IFERROR(NAV!C140/NAV!C139-1,"")</f>
        <v/>
      </c>
    </row>
    <row r="140">
      <c r="A140">
        <f>NAV!A141</f>
        <v/>
      </c>
      <c r="B140">
        <f>IFERROR(NAV!B141/NAV!B140-1,"")</f>
        <v/>
      </c>
      <c r="C140">
        <f>IFERROR(NAV!C141/NAV!C140-1,"")</f>
        <v/>
      </c>
    </row>
    <row r="141">
      <c r="A141">
        <f>NAV!A142</f>
        <v/>
      </c>
      <c r="B141">
        <f>IFERROR(NAV!B142/NAV!B141-1,"")</f>
        <v/>
      </c>
      <c r="C141">
        <f>IFERROR(NAV!C142/NAV!C141-1,"")</f>
        <v/>
      </c>
    </row>
    <row r="142">
      <c r="A142">
        <f>NAV!A143</f>
        <v/>
      </c>
      <c r="B142">
        <f>IFERROR(NAV!B143/NAV!B142-1,"")</f>
        <v/>
      </c>
      <c r="C142">
        <f>IFERROR(NAV!C143/NAV!C142-1,"")</f>
        <v/>
      </c>
    </row>
    <row r="143">
      <c r="A143">
        <f>NAV!A144</f>
        <v/>
      </c>
      <c r="B143">
        <f>IFERROR(NAV!B144/NAV!B143-1,"")</f>
        <v/>
      </c>
      <c r="C143">
        <f>IFERROR(NAV!C144/NAV!C143-1,"")</f>
        <v/>
      </c>
    </row>
    <row r="144">
      <c r="A144">
        <f>NAV!A145</f>
        <v/>
      </c>
      <c r="B144">
        <f>IFERROR(NAV!B145/NAV!B144-1,"")</f>
        <v/>
      </c>
      <c r="C144">
        <f>IFERROR(NAV!C145/NAV!C144-1,"")</f>
        <v/>
      </c>
    </row>
    <row r="145">
      <c r="A145">
        <f>NAV!A146</f>
        <v/>
      </c>
      <c r="B145">
        <f>IFERROR(NAV!B146/NAV!B145-1,"")</f>
        <v/>
      </c>
      <c r="C145">
        <f>IFERROR(NAV!C146/NAV!C145-1,"")</f>
        <v/>
      </c>
    </row>
    <row r="146">
      <c r="A146">
        <f>NAV!A147</f>
        <v/>
      </c>
      <c r="B146">
        <f>IFERROR(NAV!B147/NAV!B146-1,"")</f>
        <v/>
      </c>
      <c r="C146">
        <f>IFERROR(NAV!C147/NAV!C146-1,"")</f>
        <v/>
      </c>
    </row>
    <row r="147">
      <c r="A147">
        <f>NAV!A148</f>
        <v/>
      </c>
      <c r="B147">
        <f>IFERROR(NAV!B148/NAV!B147-1,"")</f>
        <v/>
      </c>
      <c r="C147">
        <f>IFERROR(NAV!C148/NAV!C147-1,"")</f>
        <v/>
      </c>
    </row>
    <row r="148">
      <c r="A148">
        <f>NAV!A149</f>
        <v/>
      </c>
      <c r="B148">
        <f>IFERROR(NAV!B149/NAV!B148-1,"")</f>
        <v/>
      </c>
      <c r="C148">
        <f>IFERROR(NAV!C149/NAV!C148-1,"")</f>
        <v/>
      </c>
    </row>
    <row r="149">
      <c r="A149">
        <f>NAV!A150</f>
        <v/>
      </c>
      <c r="B149">
        <f>IFERROR(NAV!B150/NAV!B149-1,"")</f>
        <v/>
      </c>
      <c r="C149">
        <f>IFERROR(NAV!C150/NAV!C149-1,"")</f>
        <v/>
      </c>
    </row>
    <row r="150">
      <c r="A150">
        <f>NAV!A151</f>
        <v/>
      </c>
      <c r="B150">
        <f>IFERROR(NAV!B151/NAV!B150-1,"")</f>
        <v/>
      </c>
      <c r="C150">
        <f>IFERROR(NAV!C151/NAV!C150-1,"")</f>
        <v/>
      </c>
    </row>
    <row r="151">
      <c r="A151">
        <f>NAV!A152</f>
        <v/>
      </c>
      <c r="B151">
        <f>IFERROR(NAV!B152/NAV!B151-1,"")</f>
        <v/>
      </c>
      <c r="C151">
        <f>IFERROR(NAV!C152/NAV!C151-1,"")</f>
        <v/>
      </c>
    </row>
    <row r="152">
      <c r="A152">
        <f>NAV!A153</f>
        <v/>
      </c>
      <c r="B152">
        <f>IFERROR(NAV!B153/NAV!B152-1,"")</f>
        <v/>
      </c>
      <c r="C152">
        <f>IFERROR(NAV!C153/NAV!C152-1,"")</f>
        <v/>
      </c>
    </row>
    <row r="153">
      <c r="A153">
        <f>NAV!A154</f>
        <v/>
      </c>
      <c r="B153">
        <f>IFERROR(NAV!B154/NAV!B153-1,"")</f>
        <v/>
      </c>
      <c r="C153">
        <f>IFERROR(NAV!C154/NAV!C153-1,"")</f>
        <v/>
      </c>
    </row>
    <row r="154">
      <c r="A154">
        <f>NAV!A155</f>
        <v/>
      </c>
      <c r="B154">
        <f>IFERROR(NAV!B155/NAV!B154-1,"")</f>
        <v/>
      </c>
      <c r="C154">
        <f>IFERROR(NAV!C155/NAV!C154-1,"")</f>
        <v/>
      </c>
    </row>
    <row r="155">
      <c r="A155">
        <f>NAV!A156</f>
        <v/>
      </c>
      <c r="B155">
        <f>IFERROR(NAV!B156/NAV!B155-1,"")</f>
        <v/>
      </c>
      <c r="C155">
        <f>IFERROR(NAV!C156/NAV!C155-1,"")</f>
        <v/>
      </c>
    </row>
    <row r="156">
      <c r="A156">
        <f>NAV!A157</f>
        <v/>
      </c>
      <c r="B156">
        <f>IFERROR(NAV!B157/NAV!B156-1,"")</f>
        <v/>
      </c>
      <c r="C156">
        <f>IFERROR(NAV!C157/NAV!C156-1,"")</f>
        <v/>
      </c>
    </row>
    <row r="157">
      <c r="A157">
        <f>NAV!A158</f>
        <v/>
      </c>
      <c r="B157">
        <f>IFERROR(NAV!B158/NAV!B157-1,"")</f>
        <v/>
      </c>
      <c r="C157">
        <f>IFERROR(NAV!C158/NAV!C157-1,"")</f>
        <v/>
      </c>
    </row>
    <row r="158">
      <c r="A158">
        <f>NAV!A159</f>
        <v/>
      </c>
      <c r="B158">
        <f>IFERROR(NAV!B159/NAV!B158-1,"")</f>
        <v/>
      </c>
      <c r="C158">
        <f>IFERROR(NAV!C159/NAV!C158-1,"")</f>
        <v/>
      </c>
    </row>
    <row r="159">
      <c r="A159">
        <f>NAV!A160</f>
        <v/>
      </c>
      <c r="B159">
        <f>IFERROR(NAV!B160/NAV!B159-1,"")</f>
        <v/>
      </c>
      <c r="C159">
        <f>IFERROR(NAV!C160/NAV!C159-1,"")</f>
        <v/>
      </c>
    </row>
    <row r="160">
      <c r="A160">
        <f>NAV!A161</f>
        <v/>
      </c>
      <c r="B160">
        <f>IFERROR(NAV!B161/NAV!B160-1,"")</f>
        <v/>
      </c>
      <c r="C160">
        <f>IFERROR(NAV!C161/NAV!C160-1,"")</f>
        <v/>
      </c>
    </row>
    <row r="161">
      <c r="A161">
        <f>NAV!A162</f>
        <v/>
      </c>
      <c r="B161">
        <f>IFERROR(NAV!B162/NAV!B161-1,"")</f>
        <v/>
      </c>
      <c r="C161">
        <f>IFERROR(NAV!C162/NAV!C161-1,"")</f>
        <v/>
      </c>
    </row>
    <row r="162">
      <c r="A162">
        <f>NAV!A163</f>
        <v/>
      </c>
      <c r="B162">
        <f>IFERROR(NAV!B163/NAV!B162-1,"")</f>
        <v/>
      </c>
      <c r="C162">
        <f>IFERROR(NAV!C163/NAV!C162-1,"")</f>
        <v/>
      </c>
    </row>
    <row r="163">
      <c r="A163">
        <f>NAV!A164</f>
        <v/>
      </c>
      <c r="B163">
        <f>IFERROR(NAV!B164/NAV!B163-1,"")</f>
        <v/>
      </c>
      <c r="C163">
        <f>IFERROR(NAV!C164/NAV!C163-1,"")</f>
        <v/>
      </c>
    </row>
    <row r="164">
      <c r="A164">
        <f>NAV!A165</f>
        <v/>
      </c>
      <c r="B164">
        <f>IFERROR(NAV!B165/NAV!B164-1,"")</f>
        <v/>
      </c>
      <c r="C164">
        <f>IFERROR(NAV!C165/NAV!C164-1,"")</f>
        <v/>
      </c>
    </row>
    <row r="165">
      <c r="A165">
        <f>NAV!A166</f>
        <v/>
      </c>
      <c r="B165">
        <f>IFERROR(NAV!B166/NAV!B165-1,"")</f>
        <v/>
      </c>
      <c r="C165">
        <f>IFERROR(NAV!C166/NAV!C165-1,"")</f>
        <v/>
      </c>
    </row>
    <row r="166">
      <c r="A166">
        <f>NAV!A167</f>
        <v/>
      </c>
      <c r="B166">
        <f>IFERROR(NAV!B167/NAV!B166-1,"")</f>
        <v/>
      </c>
      <c r="C166">
        <f>IFERROR(NAV!C167/NAV!C166-1,"")</f>
        <v/>
      </c>
    </row>
    <row r="167">
      <c r="A167">
        <f>NAV!A168</f>
        <v/>
      </c>
      <c r="B167">
        <f>IFERROR(NAV!B168/NAV!B167-1,"")</f>
        <v/>
      </c>
      <c r="C167">
        <f>IFERROR(NAV!C168/NAV!C167-1,"")</f>
        <v/>
      </c>
    </row>
    <row r="168">
      <c r="A168">
        <f>NAV!A169</f>
        <v/>
      </c>
      <c r="B168">
        <f>IFERROR(NAV!B169/NAV!B168-1,"")</f>
        <v/>
      </c>
      <c r="C168">
        <f>IFERROR(NAV!C169/NAV!C168-1,"")</f>
        <v/>
      </c>
    </row>
    <row r="169">
      <c r="A169">
        <f>NAV!A170</f>
        <v/>
      </c>
      <c r="B169">
        <f>IFERROR(NAV!B170/NAV!B169-1,"")</f>
        <v/>
      </c>
      <c r="C169">
        <f>IFERROR(NAV!C170/NAV!C169-1,"")</f>
        <v/>
      </c>
    </row>
    <row r="170">
      <c r="A170">
        <f>NAV!A171</f>
        <v/>
      </c>
      <c r="B170">
        <f>IFERROR(NAV!B171/NAV!B170-1,"")</f>
        <v/>
      </c>
      <c r="C170">
        <f>IFERROR(NAV!C171/NAV!C170-1,"")</f>
        <v/>
      </c>
    </row>
    <row r="171">
      <c r="A171">
        <f>NAV!A172</f>
        <v/>
      </c>
      <c r="B171">
        <f>IFERROR(NAV!B172/NAV!B171-1,"")</f>
        <v/>
      </c>
      <c r="C171">
        <f>IFERROR(NAV!C172/NAV!C171-1,"")</f>
        <v/>
      </c>
    </row>
    <row r="172">
      <c r="A172">
        <f>NAV!A173</f>
        <v/>
      </c>
      <c r="B172">
        <f>IFERROR(NAV!B173/NAV!B172-1,"")</f>
        <v/>
      </c>
      <c r="C172">
        <f>IFERROR(NAV!C173/NAV!C172-1,"")</f>
        <v/>
      </c>
    </row>
    <row r="173">
      <c r="A173">
        <f>NAV!A174</f>
        <v/>
      </c>
      <c r="B173">
        <f>IFERROR(NAV!B174/NAV!B173-1,"")</f>
        <v/>
      </c>
      <c r="C173">
        <f>IFERROR(NAV!C174/NAV!C173-1,"")</f>
        <v/>
      </c>
    </row>
    <row r="174">
      <c r="A174">
        <f>NAV!A175</f>
        <v/>
      </c>
      <c r="B174">
        <f>IFERROR(NAV!B175/NAV!B174-1,"")</f>
        <v/>
      </c>
      <c r="C174">
        <f>IFERROR(NAV!C175/NAV!C174-1,"")</f>
        <v/>
      </c>
    </row>
    <row r="175">
      <c r="A175">
        <f>NAV!A176</f>
        <v/>
      </c>
      <c r="B175">
        <f>IFERROR(NAV!B176/NAV!B175-1,"")</f>
        <v/>
      </c>
      <c r="C175">
        <f>IFERROR(NAV!C176/NAV!C175-1,"")</f>
        <v/>
      </c>
    </row>
    <row r="176">
      <c r="A176">
        <f>NAV!A177</f>
        <v/>
      </c>
      <c r="B176">
        <f>IFERROR(NAV!B177/NAV!B176-1,"")</f>
        <v/>
      </c>
      <c r="C176">
        <f>IFERROR(NAV!C177/NAV!C176-1,"")</f>
        <v/>
      </c>
    </row>
    <row r="177">
      <c r="A177">
        <f>NAV!A178</f>
        <v/>
      </c>
      <c r="B177">
        <f>IFERROR(NAV!B178/NAV!B177-1,"")</f>
        <v/>
      </c>
      <c r="C177">
        <f>IFERROR(NAV!C178/NAV!C177-1,"")</f>
        <v/>
      </c>
    </row>
    <row r="178">
      <c r="A178">
        <f>NAV!A179</f>
        <v/>
      </c>
      <c r="B178">
        <f>IFERROR(NAV!B179/NAV!B178-1,"")</f>
        <v/>
      </c>
      <c r="C178">
        <f>IFERROR(NAV!C179/NAV!C178-1,"")</f>
        <v/>
      </c>
    </row>
    <row r="179">
      <c r="A179">
        <f>NAV!A180</f>
        <v/>
      </c>
      <c r="B179">
        <f>IFERROR(NAV!B180/NAV!B179-1,"")</f>
        <v/>
      </c>
      <c r="C179">
        <f>IFERROR(NAV!C180/NAV!C179-1,"")</f>
        <v/>
      </c>
    </row>
    <row r="180">
      <c r="A180">
        <f>NAV!A181</f>
        <v/>
      </c>
      <c r="B180">
        <f>IFERROR(NAV!B181/NAV!B180-1,"")</f>
        <v/>
      </c>
      <c r="C180">
        <f>IFERROR(NAV!C181/NAV!C180-1,"")</f>
        <v/>
      </c>
    </row>
    <row r="181">
      <c r="A181">
        <f>NAV!A182</f>
        <v/>
      </c>
      <c r="B181">
        <f>IFERROR(NAV!B182/NAV!B181-1,"")</f>
        <v/>
      </c>
      <c r="C181">
        <f>IFERROR(NAV!C182/NAV!C181-1,"")</f>
        <v/>
      </c>
    </row>
    <row r="182">
      <c r="A182">
        <f>NAV!A183</f>
        <v/>
      </c>
      <c r="B182">
        <f>IFERROR(NAV!B183/NAV!B182-1,"")</f>
        <v/>
      </c>
      <c r="C182">
        <f>IFERROR(NAV!C183/NAV!C182-1,"")</f>
        <v/>
      </c>
    </row>
    <row r="183">
      <c r="A183">
        <f>NAV!A184</f>
        <v/>
      </c>
      <c r="B183">
        <f>IFERROR(NAV!B184/NAV!B183-1,"")</f>
        <v/>
      </c>
      <c r="C183">
        <f>IFERROR(NAV!C184/NAV!C183-1,"")</f>
        <v/>
      </c>
    </row>
    <row r="184">
      <c r="A184">
        <f>NAV!A185</f>
        <v/>
      </c>
      <c r="B184">
        <f>IFERROR(NAV!B185/NAV!B184-1,"")</f>
        <v/>
      </c>
      <c r="C184">
        <f>IFERROR(NAV!C185/NAV!C184-1,"")</f>
        <v/>
      </c>
    </row>
    <row r="185">
      <c r="A185">
        <f>NAV!A186</f>
        <v/>
      </c>
      <c r="B185">
        <f>IFERROR(NAV!B186/NAV!B185-1,"")</f>
        <v/>
      </c>
      <c r="C185">
        <f>IFERROR(NAV!C186/NAV!C185-1,"")</f>
        <v/>
      </c>
    </row>
    <row r="186">
      <c r="A186">
        <f>NAV!A187</f>
        <v/>
      </c>
      <c r="B186">
        <f>IFERROR(NAV!B187/NAV!B186-1,"")</f>
        <v/>
      </c>
      <c r="C186">
        <f>IFERROR(NAV!C187/NAV!C186-1,"")</f>
        <v/>
      </c>
    </row>
    <row r="187">
      <c r="A187">
        <f>NAV!A188</f>
        <v/>
      </c>
      <c r="B187">
        <f>IFERROR(NAV!B188/NAV!B187-1,"")</f>
        <v/>
      </c>
      <c r="C187">
        <f>IFERROR(NAV!C188/NAV!C187-1,"")</f>
        <v/>
      </c>
    </row>
    <row r="188">
      <c r="A188">
        <f>NAV!A189</f>
        <v/>
      </c>
      <c r="B188">
        <f>IFERROR(NAV!B189/NAV!B188-1,"")</f>
        <v/>
      </c>
      <c r="C188">
        <f>IFERROR(NAV!C189/NAV!C188-1,"")</f>
        <v/>
      </c>
    </row>
    <row r="189">
      <c r="A189">
        <f>NAV!A190</f>
        <v/>
      </c>
      <c r="B189">
        <f>IFERROR(NAV!B190/NAV!B189-1,"")</f>
        <v/>
      </c>
      <c r="C189">
        <f>IFERROR(NAV!C190/NAV!C189-1,"")</f>
        <v/>
      </c>
    </row>
    <row r="190">
      <c r="A190">
        <f>NAV!A191</f>
        <v/>
      </c>
      <c r="B190">
        <f>IFERROR(NAV!B191/NAV!B190-1,"")</f>
        <v/>
      </c>
      <c r="C190">
        <f>IFERROR(NAV!C191/NAV!C190-1,"")</f>
        <v/>
      </c>
    </row>
    <row r="191">
      <c r="A191">
        <f>NAV!A192</f>
        <v/>
      </c>
      <c r="B191">
        <f>IFERROR(NAV!B192/NAV!B191-1,"")</f>
        <v/>
      </c>
      <c r="C191">
        <f>IFERROR(NAV!C192/NAV!C191-1,"")</f>
        <v/>
      </c>
    </row>
    <row r="192">
      <c r="A192">
        <f>NAV!A193</f>
        <v/>
      </c>
      <c r="B192">
        <f>IFERROR(NAV!B193/NAV!B192-1,"")</f>
        <v/>
      </c>
      <c r="C192">
        <f>IFERROR(NAV!C193/NAV!C192-1,"")</f>
        <v/>
      </c>
    </row>
    <row r="193">
      <c r="A193">
        <f>NAV!A194</f>
        <v/>
      </c>
      <c r="B193">
        <f>IFERROR(NAV!B194/NAV!B193-1,"")</f>
        <v/>
      </c>
      <c r="C193">
        <f>IFERROR(NAV!C194/NAV!C193-1,"")</f>
        <v/>
      </c>
    </row>
    <row r="194">
      <c r="A194">
        <f>NAV!A195</f>
        <v/>
      </c>
      <c r="B194">
        <f>IFERROR(NAV!B195/NAV!B194-1,"")</f>
        <v/>
      </c>
      <c r="C194">
        <f>IFERROR(NAV!C195/NAV!C194-1,"")</f>
        <v/>
      </c>
    </row>
    <row r="195">
      <c r="A195">
        <f>NAV!A196</f>
        <v/>
      </c>
      <c r="B195">
        <f>IFERROR(NAV!B196/NAV!B195-1,"")</f>
        <v/>
      </c>
      <c r="C195">
        <f>IFERROR(NAV!C196/NAV!C195-1,"")</f>
        <v/>
      </c>
    </row>
    <row r="196">
      <c r="A196">
        <f>NAV!A197</f>
        <v/>
      </c>
      <c r="B196">
        <f>IFERROR(NAV!B197/NAV!B196-1,"")</f>
        <v/>
      </c>
      <c r="C196">
        <f>IFERROR(NAV!C197/NAV!C196-1,"")</f>
        <v/>
      </c>
    </row>
    <row r="197">
      <c r="A197">
        <f>NAV!A198</f>
        <v/>
      </c>
      <c r="B197">
        <f>IFERROR(NAV!B198/NAV!B197-1,"")</f>
        <v/>
      </c>
      <c r="C197">
        <f>IFERROR(NAV!C198/NAV!C197-1,"")</f>
        <v/>
      </c>
    </row>
    <row r="198">
      <c r="A198">
        <f>NAV!A199</f>
        <v/>
      </c>
      <c r="B198">
        <f>IFERROR(NAV!B199/NAV!B198-1,"")</f>
        <v/>
      </c>
      <c r="C198">
        <f>IFERROR(NAV!C199/NAV!C198-1,"")</f>
        <v/>
      </c>
    </row>
    <row r="199">
      <c r="A199">
        <f>NAV!A200</f>
        <v/>
      </c>
      <c r="B199">
        <f>IFERROR(NAV!B200/NAV!B199-1,"")</f>
        <v/>
      </c>
      <c r="C199">
        <f>IFERROR(NAV!C200/NAV!C199-1,"")</f>
        <v/>
      </c>
    </row>
    <row r="200">
      <c r="A200">
        <f>NAV!A201</f>
        <v/>
      </c>
      <c r="B200">
        <f>IFERROR(NAV!B201/NAV!B200-1,"")</f>
        <v/>
      </c>
      <c r="C200">
        <f>IFERROR(NAV!C201/NAV!C200-1,"")</f>
        <v/>
      </c>
    </row>
    <row r="201">
      <c r="A201">
        <f>NAV!A202</f>
        <v/>
      </c>
      <c r="B201">
        <f>IFERROR(NAV!B202/NAV!B201-1,"")</f>
        <v/>
      </c>
      <c r="C201">
        <f>IFERROR(NAV!C202/NAV!C201-1,"")</f>
        <v/>
      </c>
    </row>
    <row r="202">
      <c r="A202">
        <f>NAV!A203</f>
        <v/>
      </c>
      <c r="B202">
        <f>IFERROR(NAV!B203/NAV!B202-1,"")</f>
        <v/>
      </c>
      <c r="C202">
        <f>IFERROR(NAV!C203/NAV!C202-1,"")</f>
        <v/>
      </c>
    </row>
    <row r="203">
      <c r="A203">
        <f>NAV!A204</f>
        <v/>
      </c>
      <c r="B203">
        <f>IFERROR(NAV!B204/NAV!B203-1,"")</f>
        <v/>
      </c>
      <c r="C203">
        <f>IFERROR(NAV!C204/NAV!C203-1,"")</f>
        <v/>
      </c>
    </row>
    <row r="204">
      <c r="A204">
        <f>NAV!A205</f>
        <v/>
      </c>
      <c r="B204">
        <f>IFERROR(NAV!B205/NAV!B204-1,"")</f>
        <v/>
      </c>
      <c r="C204">
        <f>IFERROR(NAV!C205/NAV!C204-1,"")</f>
        <v/>
      </c>
    </row>
    <row r="205">
      <c r="A205">
        <f>NAV!A206</f>
        <v/>
      </c>
      <c r="B205">
        <f>IFERROR(NAV!B206/NAV!B205-1,"")</f>
        <v/>
      </c>
      <c r="C205">
        <f>IFERROR(NAV!C206/NAV!C205-1,"")</f>
        <v/>
      </c>
    </row>
    <row r="206">
      <c r="A206">
        <f>NAV!A207</f>
        <v/>
      </c>
      <c r="B206">
        <f>IFERROR(NAV!B207/NAV!B206-1,"")</f>
        <v/>
      </c>
      <c r="C206">
        <f>IFERROR(NAV!C207/NAV!C206-1,"")</f>
        <v/>
      </c>
    </row>
    <row r="207">
      <c r="A207">
        <f>NAV!A208</f>
        <v/>
      </c>
      <c r="B207">
        <f>IFERROR(NAV!B208/NAV!B207-1,"")</f>
        <v/>
      </c>
      <c r="C207">
        <f>IFERROR(NAV!C208/NAV!C207-1,"")</f>
        <v/>
      </c>
    </row>
    <row r="208">
      <c r="A208">
        <f>NAV!A209</f>
        <v/>
      </c>
      <c r="B208">
        <f>IFERROR(NAV!B209/NAV!B208-1,"")</f>
        <v/>
      </c>
      <c r="C208">
        <f>IFERROR(NAV!C209/NAV!C208-1,"")</f>
        <v/>
      </c>
    </row>
    <row r="209">
      <c r="A209">
        <f>NAV!A210</f>
        <v/>
      </c>
      <c r="B209">
        <f>IFERROR(NAV!B210/NAV!B209-1,"")</f>
        <v/>
      </c>
      <c r="C209">
        <f>IFERROR(NAV!C210/NAV!C209-1,"")</f>
        <v/>
      </c>
    </row>
    <row r="210">
      <c r="A210">
        <f>NAV!A211</f>
        <v/>
      </c>
      <c r="B210">
        <f>IFERROR(NAV!B211/NAV!B210-1,"")</f>
        <v/>
      </c>
      <c r="C210">
        <f>IFERROR(NAV!C211/NAV!C210-1,"")</f>
        <v/>
      </c>
    </row>
    <row r="211">
      <c r="A211">
        <f>NAV!A212</f>
        <v/>
      </c>
      <c r="B211">
        <f>IFERROR(NAV!B212/NAV!B211-1,"")</f>
        <v/>
      </c>
      <c r="C211">
        <f>IFERROR(NAV!C212/NAV!C211-1,"")</f>
        <v/>
      </c>
    </row>
    <row r="212">
      <c r="A212">
        <f>NAV!A213</f>
        <v/>
      </c>
      <c r="B212">
        <f>IFERROR(NAV!B213/NAV!B212-1,"")</f>
        <v/>
      </c>
      <c r="C212">
        <f>IFERROR(NAV!C213/NAV!C212-1,"")</f>
        <v/>
      </c>
    </row>
    <row r="213">
      <c r="A213">
        <f>NAV!A214</f>
        <v/>
      </c>
      <c r="B213">
        <f>IFERROR(NAV!B214/NAV!B213-1,"")</f>
        <v/>
      </c>
      <c r="C213">
        <f>IFERROR(NAV!C214/NAV!C213-1,"")</f>
        <v/>
      </c>
    </row>
    <row r="214">
      <c r="A214">
        <f>NAV!A215</f>
        <v/>
      </c>
      <c r="B214">
        <f>IFERROR(NAV!B215/NAV!B214-1,"")</f>
        <v/>
      </c>
      <c r="C214">
        <f>IFERROR(NAV!C215/NAV!C214-1,"")</f>
        <v/>
      </c>
    </row>
    <row r="215">
      <c r="A215">
        <f>NAV!A216</f>
        <v/>
      </c>
      <c r="B215">
        <f>IFERROR(NAV!B216/NAV!B215-1,"")</f>
        <v/>
      </c>
      <c r="C215">
        <f>IFERROR(NAV!C216/NAV!C215-1,"")</f>
        <v/>
      </c>
    </row>
    <row r="216">
      <c r="A216">
        <f>NAV!A217</f>
        <v/>
      </c>
      <c r="B216">
        <f>IFERROR(NAV!B217/NAV!B216-1,"")</f>
        <v/>
      </c>
      <c r="C216">
        <f>IFERROR(NAV!C217/NAV!C216-1,"")</f>
        <v/>
      </c>
    </row>
    <row r="217">
      <c r="A217">
        <f>NAV!A218</f>
        <v/>
      </c>
      <c r="B217">
        <f>IFERROR(NAV!B218/NAV!B217-1,"")</f>
        <v/>
      </c>
      <c r="C217">
        <f>IFERROR(NAV!C218/NAV!C217-1,"")</f>
        <v/>
      </c>
    </row>
    <row r="218">
      <c r="A218">
        <f>NAV!A219</f>
        <v/>
      </c>
      <c r="B218">
        <f>IFERROR(NAV!B219/NAV!B218-1,"")</f>
        <v/>
      </c>
      <c r="C218">
        <f>IFERROR(NAV!C219/NAV!C218-1,"")</f>
        <v/>
      </c>
    </row>
    <row r="219">
      <c r="A219">
        <f>NAV!A220</f>
        <v/>
      </c>
      <c r="B219">
        <f>IFERROR(NAV!B220/NAV!B219-1,"")</f>
        <v/>
      </c>
      <c r="C219">
        <f>IFERROR(NAV!C220/NAV!C219-1,"")</f>
        <v/>
      </c>
    </row>
    <row r="220">
      <c r="A220">
        <f>NAV!A221</f>
        <v/>
      </c>
      <c r="B220">
        <f>IFERROR(NAV!B221/NAV!B220-1,"")</f>
        <v/>
      </c>
      <c r="C220">
        <f>IFERROR(NAV!C221/NAV!C220-1,"")</f>
        <v/>
      </c>
    </row>
    <row r="221">
      <c r="A221">
        <f>NAV!A222</f>
        <v/>
      </c>
      <c r="B221">
        <f>IFERROR(NAV!B222/NAV!B221-1,"")</f>
        <v/>
      </c>
      <c r="C221">
        <f>IFERROR(NAV!C222/NAV!C221-1,"")</f>
        <v/>
      </c>
    </row>
    <row r="222">
      <c r="A222">
        <f>NAV!A223</f>
        <v/>
      </c>
      <c r="B222">
        <f>IFERROR(NAV!B223/NAV!B222-1,"")</f>
        <v/>
      </c>
      <c r="C222">
        <f>IFERROR(NAV!C223/NAV!C222-1,"")</f>
        <v/>
      </c>
    </row>
    <row r="223">
      <c r="A223">
        <f>NAV!A224</f>
        <v/>
      </c>
      <c r="B223">
        <f>IFERROR(NAV!B224/NAV!B223-1,"")</f>
        <v/>
      </c>
      <c r="C223">
        <f>IFERROR(NAV!C224/NAV!C223-1,"")</f>
        <v/>
      </c>
    </row>
    <row r="224">
      <c r="A224">
        <f>NAV!A225</f>
        <v/>
      </c>
      <c r="B224">
        <f>IFERROR(NAV!B225/NAV!B224-1,"")</f>
        <v/>
      </c>
      <c r="C224">
        <f>IFERROR(NAV!C225/NAV!C224-1,"")</f>
        <v/>
      </c>
    </row>
    <row r="225">
      <c r="A225">
        <f>NAV!A226</f>
        <v/>
      </c>
      <c r="B225">
        <f>IFERROR(NAV!B226/NAV!B225-1,"")</f>
        <v/>
      </c>
      <c r="C225">
        <f>IFERROR(NAV!C226/NAV!C225-1,"")</f>
        <v/>
      </c>
    </row>
    <row r="226">
      <c r="A226">
        <f>NAV!A227</f>
        <v/>
      </c>
      <c r="B226">
        <f>IFERROR(NAV!B227/NAV!B226-1,"")</f>
        <v/>
      </c>
      <c r="C226">
        <f>IFERROR(NAV!C227/NAV!C226-1,"")</f>
        <v/>
      </c>
    </row>
    <row r="227">
      <c r="A227">
        <f>NAV!A228</f>
        <v/>
      </c>
      <c r="B227">
        <f>IFERROR(NAV!B228/NAV!B227-1,"")</f>
        <v/>
      </c>
      <c r="C227">
        <f>IFERROR(NAV!C228/NAV!C227-1,"")</f>
        <v/>
      </c>
    </row>
    <row r="228">
      <c r="A228">
        <f>NAV!A229</f>
        <v/>
      </c>
      <c r="B228">
        <f>IFERROR(NAV!B229/NAV!B228-1,"")</f>
        <v/>
      </c>
      <c r="C228">
        <f>IFERROR(NAV!C229/NAV!C228-1,"")</f>
        <v/>
      </c>
    </row>
    <row r="229">
      <c r="A229">
        <f>NAV!A230</f>
        <v/>
      </c>
      <c r="B229">
        <f>IFERROR(NAV!B230/NAV!B229-1,"")</f>
        <v/>
      </c>
      <c r="C229">
        <f>IFERROR(NAV!C230/NAV!C229-1,"")</f>
        <v/>
      </c>
    </row>
    <row r="230">
      <c r="A230">
        <f>NAV!A231</f>
        <v/>
      </c>
      <c r="B230">
        <f>IFERROR(NAV!B231/NAV!B230-1,"")</f>
        <v/>
      </c>
      <c r="C230">
        <f>IFERROR(NAV!C231/NAV!C230-1,"")</f>
        <v/>
      </c>
    </row>
    <row r="231">
      <c r="A231">
        <f>NAV!A232</f>
        <v/>
      </c>
      <c r="B231">
        <f>IFERROR(NAV!B232/NAV!B231-1,"")</f>
        <v/>
      </c>
      <c r="C231">
        <f>IFERROR(NAV!C232/NAV!C231-1,"")</f>
        <v/>
      </c>
    </row>
    <row r="232">
      <c r="A232">
        <f>NAV!A233</f>
        <v/>
      </c>
      <c r="B232">
        <f>IFERROR(NAV!B233/NAV!B232-1,"")</f>
        <v/>
      </c>
      <c r="C232">
        <f>IFERROR(NAV!C233/NAV!C232-1,"")</f>
        <v/>
      </c>
    </row>
    <row r="233">
      <c r="A233">
        <f>NAV!A234</f>
        <v/>
      </c>
      <c r="B233">
        <f>IFERROR(NAV!B234/NAV!B233-1,"")</f>
        <v/>
      </c>
      <c r="C233">
        <f>IFERROR(NAV!C234/NAV!C233-1,"")</f>
        <v/>
      </c>
    </row>
    <row r="234">
      <c r="A234">
        <f>NAV!A235</f>
        <v/>
      </c>
      <c r="B234">
        <f>IFERROR(NAV!B235/NAV!B234-1,"")</f>
        <v/>
      </c>
      <c r="C234">
        <f>IFERROR(NAV!C235/NAV!C234-1,"")</f>
        <v/>
      </c>
    </row>
    <row r="235">
      <c r="A235">
        <f>NAV!A236</f>
        <v/>
      </c>
      <c r="B235">
        <f>IFERROR(NAV!B236/NAV!B235-1,"")</f>
        <v/>
      </c>
      <c r="C235">
        <f>IFERROR(NAV!C236/NAV!C235-1,"")</f>
        <v/>
      </c>
    </row>
    <row r="236">
      <c r="A236">
        <f>NAV!A237</f>
        <v/>
      </c>
      <c r="B236">
        <f>IFERROR(NAV!B237/NAV!B236-1,"")</f>
        <v/>
      </c>
      <c r="C236">
        <f>IFERROR(NAV!C237/NAV!C236-1,"")</f>
        <v/>
      </c>
    </row>
    <row r="237">
      <c r="A237">
        <f>NAV!A238</f>
        <v/>
      </c>
      <c r="B237">
        <f>IFERROR(NAV!B238/NAV!B237-1,"")</f>
        <v/>
      </c>
      <c r="C237">
        <f>IFERROR(NAV!C238/NAV!C237-1,"")</f>
        <v/>
      </c>
    </row>
    <row r="238">
      <c r="A238">
        <f>NAV!A239</f>
        <v/>
      </c>
      <c r="B238">
        <f>IFERROR(NAV!B239/NAV!B238-1,"")</f>
        <v/>
      </c>
      <c r="C238">
        <f>IFERROR(NAV!C239/NAV!C238-1,"")</f>
        <v/>
      </c>
    </row>
    <row r="239">
      <c r="A239">
        <f>NAV!A240</f>
        <v/>
      </c>
      <c r="B239">
        <f>IFERROR(NAV!B240/NAV!B239-1,"")</f>
        <v/>
      </c>
      <c r="C239">
        <f>IFERROR(NAV!C240/NAV!C239-1,"")</f>
        <v/>
      </c>
    </row>
    <row r="240">
      <c r="A240">
        <f>NAV!A241</f>
        <v/>
      </c>
      <c r="B240">
        <f>IFERROR(NAV!B241/NAV!B240-1,"")</f>
        <v/>
      </c>
      <c r="C240">
        <f>IFERROR(NAV!C241/NAV!C240-1,"")</f>
        <v/>
      </c>
    </row>
    <row r="241">
      <c r="A241">
        <f>NAV!A242</f>
        <v/>
      </c>
      <c r="B241">
        <f>IFERROR(NAV!B242/NAV!B241-1,"")</f>
        <v/>
      </c>
      <c r="C241">
        <f>IFERROR(NAV!C242/NAV!C241-1,"")</f>
        <v/>
      </c>
    </row>
    <row r="242">
      <c r="A242">
        <f>NAV!A243</f>
        <v/>
      </c>
      <c r="B242">
        <f>IFERROR(NAV!B243/NAV!B242-1,"")</f>
        <v/>
      </c>
      <c r="C242">
        <f>IFERROR(NAV!C243/NAV!C242-1,"")</f>
        <v/>
      </c>
    </row>
    <row r="243">
      <c r="A243">
        <f>NAV!A244</f>
        <v/>
      </c>
      <c r="B243">
        <f>IFERROR(NAV!B244/NAV!B243-1,"")</f>
        <v/>
      </c>
      <c r="C243">
        <f>IFERROR(NAV!C244/NAV!C243-1,"")</f>
        <v/>
      </c>
    </row>
    <row r="244">
      <c r="A244">
        <f>NAV!A245</f>
        <v/>
      </c>
      <c r="B244">
        <f>IFERROR(NAV!B245/NAV!B244-1,"")</f>
        <v/>
      </c>
      <c r="C244">
        <f>IFERROR(NAV!C245/NAV!C244-1,"")</f>
        <v/>
      </c>
    </row>
    <row r="245">
      <c r="A245">
        <f>NAV!A246</f>
        <v/>
      </c>
      <c r="B245">
        <f>IFERROR(NAV!B246/NAV!B245-1,"")</f>
        <v/>
      </c>
      <c r="C245">
        <f>IFERROR(NAV!C246/NAV!C245-1,"")</f>
        <v/>
      </c>
    </row>
    <row r="246">
      <c r="A246">
        <f>NAV!A247</f>
        <v/>
      </c>
      <c r="B246">
        <f>IFERROR(NAV!B247/NAV!B246-1,"")</f>
        <v/>
      </c>
      <c r="C246">
        <f>IFERROR(NAV!C247/NAV!C246-1,"")</f>
        <v/>
      </c>
    </row>
    <row r="247">
      <c r="A247">
        <f>NAV!A248</f>
        <v/>
      </c>
      <c r="B247">
        <f>IFERROR(NAV!B248/NAV!B247-1,"")</f>
        <v/>
      </c>
      <c r="C247">
        <f>IFERROR(NAV!C248/NAV!C247-1,"")</f>
        <v/>
      </c>
    </row>
    <row r="248">
      <c r="A248">
        <f>NAV!A249</f>
        <v/>
      </c>
      <c r="B248">
        <f>IFERROR(NAV!B249/NAV!B248-1,"")</f>
        <v/>
      </c>
      <c r="C248">
        <f>IFERROR(NAV!C249/NAV!C248-1,"")</f>
        <v/>
      </c>
    </row>
    <row r="249">
      <c r="A249">
        <f>NAV!A250</f>
        <v/>
      </c>
      <c r="B249">
        <f>IFERROR(NAV!B250/NAV!B249-1,"")</f>
        <v/>
      </c>
      <c r="C249">
        <f>IFERROR(NAV!C250/NAV!C249-1,"")</f>
        <v/>
      </c>
    </row>
    <row r="250">
      <c r="A250">
        <f>NAV!A251</f>
        <v/>
      </c>
      <c r="B250">
        <f>IFERROR(NAV!B251/NAV!B250-1,"")</f>
        <v/>
      </c>
      <c r="C250">
        <f>IFERROR(NAV!C251/NAV!C250-1,"")</f>
        <v/>
      </c>
    </row>
    <row r="251">
      <c r="A251">
        <f>NAV!A252</f>
        <v/>
      </c>
      <c r="B251">
        <f>IFERROR(NAV!B252/NAV!B251-1,"")</f>
        <v/>
      </c>
      <c r="C251">
        <f>IFERROR(NAV!C252/NAV!C251-1,"")</f>
        <v/>
      </c>
    </row>
    <row r="252">
      <c r="A252">
        <f>NAV!A253</f>
        <v/>
      </c>
      <c r="B252">
        <f>IFERROR(NAV!B253/NAV!B252-1,"")</f>
        <v/>
      </c>
      <c r="C252">
        <f>IFERROR(NAV!C253/NAV!C252-1,"")</f>
        <v/>
      </c>
    </row>
    <row r="253">
      <c r="A253">
        <f>NAV!A254</f>
        <v/>
      </c>
      <c r="B253">
        <f>IFERROR(NAV!B254/NAV!B253-1,"")</f>
        <v/>
      </c>
      <c r="C253">
        <f>IFERROR(NAV!C254/NAV!C253-1,"")</f>
        <v/>
      </c>
    </row>
    <row r="254">
      <c r="A254">
        <f>NAV!A255</f>
        <v/>
      </c>
      <c r="B254">
        <f>IFERROR(NAV!B255/NAV!B254-1,"")</f>
        <v/>
      </c>
      <c r="C254">
        <f>IFERROR(NAV!C255/NAV!C254-1,"")</f>
        <v/>
      </c>
    </row>
    <row r="255">
      <c r="A255">
        <f>NAV!A256</f>
        <v/>
      </c>
      <c r="B255">
        <f>IFERROR(NAV!B256/NAV!B255-1,"")</f>
        <v/>
      </c>
      <c r="C255">
        <f>IFERROR(NAV!C256/NAV!C255-1,"")</f>
        <v/>
      </c>
    </row>
    <row r="256">
      <c r="A256">
        <f>NAV!A257</f>
        <v/>
      </c>
      <c r="B256">
        <f>IFERROR(NAV!B257/NAV!B256-1,"")</f>
        <v/>
      </c>
      <c r="C256">
        <f>IFERROR(NAV!C257/NAV!C256-1,"")</f>
        <v/>
      </c>
    </row>
    <row r="257">
      <c r="A257">
        <f>NAV!A258</f>
        <v/>
      </c>
      <c r="B257">
        <f>IFERROR(NAV!B258/NAV!B257-1,"")</f>
        <v/>
      </c>
      <c r="C257">
        <f>IFERROR(NAV!C258/NAV!C257-1,"")</f>
        <v/>
      </c>
    </row>
    <row r="258">
      <c r="A258">
        <f>NAV!A259</f>
        <v/>
      </c>
      <c r="B258">
        <f>IFERROR(NAV!B259/NAV!B258-1,"")</f>
        <v/>
      </c>
      <c r="C258">
        <f>IFERROR(NAV!C259/NAV!C258-1,"")</f>
        <v/>
      </c>
    </row>
    <row r="259">
      <c r="A259">
        <f>NAV!A260</f>
        <v/>
      </c>
      <c r="B259">
        <f>IFERROR(NAV!B260/NAV!B259-1,"")</f>
        <v/>
      </c>
      <c r="C259">
        <f>IFERROR(NAV!C260/NAV!C259-1,"")</f>
        <v/>
      </c>
    </row>
    <row r="260">
      <c r="A260">
        <f>NAV!A261</f>
        <v/>
      </c>
      <c r="B260">
        <f>IFERROR(NAV!B261/NAV!B260-1,"")</f>
        <v/>
      </c>
      <c r="C260">
        <f>IFERROR(NAV!C261/NAV!C260-1,"")</f>
        <v/>
      </c>
    </row>
    <row r="261">
      <c r="A261">
        <f>NAV!A262</f>
        <v/>
      </c>
      <c r="B261">
        <f>IFERROR(NAV!B262/NAV!B261-1,"")</f>
        <v/>
      </c>
      <c r="C261">
        <f>IFERROR(NAV!C262/NAV!C261-1,"")</f>
        <v/>
      </c>
    </row>
    <row r="262">
      <c r="A262">
        <f>NAV!A263</f>
        <v/>
      </c>
      <c r="B262">
        <f>IFERROR(NAV!B263/NAV!B262-1,"")</f>
        <v/>
      </c>
      <c r="C262">
        <f>IFERROR(NAV!C263/NAV!C262-1,"")</f>
        <v/>
      </c>
    </row>
    <row r="263">
      <c r="A263">
        <f>NAV!A264</f>
        <v/>
      </c>
      <c r="B263">
        <f>IFERROR(NAV!B264/NAV!B263-1,"")</f>
        <v/>
      </c>
      <c r="C263">
        <f>IFERROR(NAV!C264/NAV!C263-1,"")</f>
        <v/>
      </c>
    </row>
    <row r="264">
      <c r="A264">
        <f>NAV!A265</f>
        <v/>
      </c>
      <c r="B264">
        <f>IFERROR(NAV!B265/NAV!B264-1,"")</f>
        <v/>
      </c>
      <c r="C264">
        <f>IFERROR(NAV!C265/NAV!C264-1,"")</f>
        <v/>
      </c>
    </row>
    <row r="265">
      <c r="A265">
        <f>NAV!A266</f>
        <v/>
      </c>
      <c r="B265">
        <f>IFERROR(NAV!B266/NAV!B265-1,"")</f>
        <v/>
      </c>
      <c r="C265">
        <f>IFERROR(NAV!C266/NAV!C265-1,"")</f>
        <v/>
      </c>
    </row>
    <row r="266">
      <c r="A266">
        <f>NAV!A267</f>
        <v/>
      </c>
      <c r="B266">
        <f>IFERROR(NAV!B267/NAV!B266-1,"")</f>
        <v/>
      </c>
      <c r="C266">
        <f>IFERROR(NAV!C267/NAV!C266-1,"")</f>
        <v/>
      </c>
    </row>
    <row r="267">
      <c r="A267">
        <f>NAV!A268</f>
        <v/>
      </c>
      <c r="B267">
        <f>IFERROR(NAV!B268/NAV!B267-1,"")</f>
        <v/>
      </c>
      <c r="C267">
        <f>IFERROR(NAV!C268/NAV!C267-1,"")</f>
        <v/>
      </c>
    </row>
    <row r="268">
      <c r="A268">
        <f>NAV!A269</f>
        <v/>
      </c>
      <c r="B268">
        <f>IFERROR(NAV!B269/NAV!B268-1,"")</f>
        <v/>
      </c>
      <c r="C268">
        <f>IFERROR(NAV!C269/NAV!C268-1,"")</f>
        <v/>
      </c>
    </row>
    <row r="269">
      <c r="A269">
        <f>NAV!A270</f>
        <v/>
      </c>
      <c r="B269">
        <f>IFERROR(NAV!B270/NAV!B269-1,"")</f>
        <v/>
      </c>
      <c r="C269">
        <f>IFERROR(NAV!C270/NAV!C269-1,"")</f>
        <v/>
      </c>
    </row>
    <row r="270">
      <c r="A270">
        <f>NAV!A271</f>
        <v/>
      </c>
      <c r="B270">
        <f>IFERROR(NAV!B271/NAV!B270-1,"")</f>
        <v/>
      </c>
      <c r="C270">
        <f>IFERROR(NAV!C271/NAV!C270-1,"")</f>
        <v/>
      </c>
    </row>
    <row r="271">
      <c r="A271">
        <f>NAV!A272</f>
        <v/>
      </c>
      <c r="B271">
        <f>IFERROR(NAV!B272/NAV!B271-1,"")</f>
        <v/>
      </c>
      <c r="C271">
        <f>IFERROR(NAV!C272/NAV!C271-1,"")</f>
        <v/>
      </c>
    </row>
    <row r="272">
      <c r="A272">
        <f>NAV!A273</f>
        <v/>
      </c>
      <c r="B272">
        <f>IFERROR(NAV!B273/NAV!B272-1,"")</f>
        <v/>
      </c>
      <c r="C272">
        <f>IFERROR(NAV!C273/NAV!C272-1,"")</f>
        <v/>
      </c>
    </row>
    <row r="273">
      <c r="A273">
        <f>NAV!A274</f>
        <v/>
      </c>
      <c r="B273">
        <f>IFERROR(NAV!B274/NAV!B273-1,"")</f>
        <v/>
      </c>
      <c r="C273">
        <f>IFERROR(NAV!C274/NAV!C273-1,"")</f>
        <v/>
      </c>
    </row>
    <row r="274">
      <c r="A274">
        <f>NAV!A275</f>
        <v/>
      </c>
      <c r="B274">
        <f>IFERROR(NAV!B275/NAV!B274-1,"")</f>
        <v/>
      </c>
      <c r="C274">
        <f>IFERROR(NAV!C275/NAV!C274-1,"")</f>
        <v/>
      </c>
    </row>
    <row r="275">
      <c r="A275">
        <f>NAV!A276</f>
        <v/>
      </c>
      <c r="B275">
        <f>IFERROR(NAV!B276/NAV!B275-1,"")</f>
        <v/>
      </c>
      <c r="C275">
        <f>IFERROR(NAV!C276/NAV!C275-1,"")</f>
        <v/>
      </c>
    </row>
    <row r="276">
      <c r="A276">
        <f>NAV!A277</f>
        <v/>
      </c>
      <c r="B276">
        <f>IFERROR(NAV!B277/NAV!B276-1,"")</f>
        <v/>
      </c>
      <c r="C276">
        <f>IFERROR(NAV!C277/NAV!C276-1,"")</f>
        <v/>
      </c>
    </row>
    <row r="277">
      <c r="A277">
        <f>NAV!A278</f>
        <v/>
      </c>
      <c r="B277">
        <f>IFERROR(NAV!B278/NAV!B277-1,"")</f>
        <v/>
      </c>
      <c r="C277">
        <f>IFERROR(NAV!C278/NAV!C277-1,"")</f>
        <v/>
      </c>
    </row>
    <row r="278">
      <c r="A278">
        <f>NAV!A279</f>
        <v/>
      </c>
      <c r="B278">
        <f>IFERROR(NAV!B279/NAV!B278-1,"")</f>
        <v/>
      </c>
      <c r="C278">
        <f>IFERROR(NAV!C279/NAV!C278-1,"")</f>
        <v/>
      </c>
    </row>
    <row r="279">
      <c r="A279">
        <f>NAV!A280</f>
        <v/>
      </c>
      <c r="B279">
        <f>IFERROR(NAV!B280/NAV!B279-1,"")</f>
        <v/>
      </c>
      <c r="C279">
        <f>IFERROR(NAV!C280/NAV!C279-1,"")</f>
        <v/>
      </c>
    </row>
    <row r="280">
      <c r="A280">
        <f>NAV!A281</f>
        <v/>
      </c>
      <c r="B280">
        <f>IFERROR(NAV!B281/NAV!B280-1,"")</f>
        <v/>
      </c>
      <c r="C280">
        <f>IFERROR(NAV!C281/NAV!C280-1,"")</f>
        <v/>
      </c>
    </row>
    <row r="281">
      <c r="A281">
        <f>NAV!A282</f>
        <v/>
      </c>
      <c r="B281">
        <f>IFERROR(NAV!B282/NAV!B281-1,"")</f>
        <v/>
      </c>
      <c r="C281">
        <f>IFERROR(NAV!C282/NAV!C281-1,"")</f>
        <v/>
      </c>
    </row>
    <row r="282">
      <c r="A282">
        <f>NAV!A283</f>
        <v/>
      </c>
      <c r="B282">
        <f>IFERROR(NAV!B283/NAV!B282-1,"")</f>
        <v/>
      </c>
      <c r="C282">
        <f>IFERROR(NAV!C283/NAV!C282-1,"")</f>
        <v/>
      </c>
    </row>
    <row r="283">
      <c r="A283">
        <f>NAV!A284</f>
        <v/>
      </c>
      <c r="B283">
        <f>IFERROR(NAV!B284/NAV!B283-1,"")</f>
        <v/>
      </c>
      <c r="C283">
        <f>IFERROR(NAV!C284/NAV!C283-1,"")</f>
        <v/>
      </c>
    </row>
    <row r="284">
      <c r="A284">
        <f>NAV!A285</f>
        <v/>
      </c>
      <c r="B284">
        <f>IFERROR(NAV!B285/NAV!B284-1,"")</f>
        <v/>
      </c>
      <c r="C284">
        <f>IFERROR(NAV!C285/NAV!C284-1,"")</f>
        <v/>
      </c>
    </row>
    <row r="285">
      <c r="A285">
        <f>NAV!A286</f>
        <v/>
      </c>
      <c r="B285">
        <f>IFERROR(NAV!B286/NAV!B285-1,"")</f>
        <v/>
      </c>
      <c r="C285">
        <f>IFERROR(NAV!C286/NAV!C285-1,"")</f>
        <v/>
      </c>
    </row>
    <row r="286">
      <c r="A286">
        <f>NAV!A287</f>
        <v/>
      </c>
      <c r="B286">
        <f>IFERROR(NAV!B287/NAV!B286-1,"")</f>
        <v/>
      </c>
      <c r="C286">
        <f>IFERROR(NAV!C287/NAV!C286-1,"")</f>
        <v/>
      </c>
    </row>
    <row r="287">
      <c r="A287">
        <f>NAV!A288</f>
        <v/>
      </c>
      <c r="B287">
        <f>IFERROR(NAV!B288/NAV!B287-1,"")</f>
        <v/>
      </c>
      <c r="C287">
        <f>IFERROR(NAV!C288/NAV!C287-1,"")</f>
        <v/>
      </c>
    </row>
    <row r="288">
      <c r="A288">
        <f>NAV!A289</f>
        <v/>
      </c>
      <c r="B288">
        <f>IFERROR(NAV!B289/NAV!B288-1,"")</f>
        <v/>
      </c>
      <c r="C288">
        <f>IFERROR(NAV!C289/NAV!C288-1,"")</f>
        <v/>
      </c>
    </row>
    <row r="289">
      <c r="A289">
        <f>NAV!A290</f>
        <v/>
      </c>
      <c r="B289">
        <f>IFERROR(NAV!B290/NAV!B289-1,"")</f>
        <v/>
      </c>
      <c r="C289">
        <f>IFERROR(NAV!C290/NAV!C289-1,"")</f>
        <v/>
      </c>
    </row>
    <row r="290">
      <c r="A290">
        <f>NAV!A291</f>
        <v/>
      </c>
      <c r="B290">
        <f>IFERROR(NAV!B291/NAV!B290-1,"")</f>
        <v/>
      </c>
      <c r="C290">
        <f>IFERROR(NAV!C291/NAV!C290-1,"")</f>
        <v/>
      </c>
    </row>
    <row r="291">
      <c r="A291">
        <f>NAV!A292</f>
        <v/>
      </c>
      <c r="B291">
        <f>IFERROR(NAV!B292/NAV!B291-1,"")</f>
        <v/>
      </c>
      <c r="C291">
        <f>IFERROR(NAV!C292/NAV!C291-1,"")</f>
        <v/>
      </c>
    </row>
    <row r="292">
      <c r="A292">
        <f>NAV!A293</f>
        <v/>
      </c>
      <c r="B292">
        <f>IFERROR(NAV!B293/NAV!B292-1,"")</f>
        <v/>
      </c>
      <c r="C292">
        <f>IFERROR(NAV!C293/NAV!C292-1,"")</f>
        <v/>
      </c>
    </row>
    <row r="293">
      <c r="A293">
        <f>NAV!A294</f>
        <v/>
      </c>
      <c r="B293">
        <f>IFERROR(NAV!B294/NAV!B293-1,"")</f>
        <v/>
      </c>
      <c r="C293">
        <f>IFERROR(NAV!C294/NAV!C293-1,"")</f>
        <v/>
      </c>
    </row>
    <row r="294">
      <c r="A294">
        <f>NAV!A295</f>
        <v/>
      </c>
      <c r="B294">
        <f>IFERROR(NAV!B295/NAV!B294-1,"")</f>
        <v/>
      </c>
      <c r="C294">
        <f>IFERROR(NAV!C295/NAV!C294-1,"")</f>
        <v/>
      </c>
    </row>
    <row r="295">
      <c r="A295">
        <f>NAV!A296</f>
        <v/>
      </c>
      <c r="B295">
        <f>IFERROR(NAV!B296/NAV!B295-1,"")</f>
        <v/>
      </c>
      <c r="C295">
        <f>IFERROR(NAV!C296/NAV!C295-1,"")</f>
        <v/>
      </c>
    </row>
    <row r="296">
      <c r="A296">
        <f>NAV!A297</f>
        <v/>
      </c>
      <c r="B296">
        <f>IFERROR(NAV!B297/NAV!B296-1,"")</f>
        <v/>
      </c>
      <c r="C296">
        <f>IFERROR(NAV!C297/NAV!C296-1,"")</f>
        <v/>
      </c>
    </row>
    <row r="297">
      <c r="A297">
        <f>NAV!A298</f>
        <v/>
      </c>
      <c r="B297">
        <f>IFERROR(NAV!B298/NAV!B297-1,"")</f>
        <v/>
      </c>
      <c r="C297">
        <f>IFERROR(NAV!C298/NAV!C297-1,"")</f>
        <v/>
      </c>
    </row>
    <row r="298">
      <c r="A298">
        <f>NAV!A299</f>
        <v/>
      </c>
      <c r="B298">
        <f>IFERROR(NAV!B299/NAV!B298-1,"")</f>
        <v/>
      </c>
      <c r="C298">
        <f>IFERROR(NAV!C299/NAV!C298-1,"")</f>
        <v/>
      </c>
    </row>
    <row r="299">
      <c r="A299">
        <f>NAV!A300</f>
        <v/>
      </c>
      <c r="B299">
        <f>IFERROR(NAV!B300/NAV!B299-1,"")</f>
        <v/>
      </c>
      <c r="C299">
        <f>IFERROR(NAV!C300/NAV!C299-1,"")</f>
        <v/>
      </c>
    </row>
    <row r="300">
      <c r="A300">
        <f>NAV!A301</f>
        <v/>
      </c>
      <c r="B300">
        <f>IFERROR(NAV!B301/NAV!B300-1,"")</f>
        <v/>
      </c>
      <c r="C300">
        <f>IFERROR(NAV!C301/NAV!C300-1,"")</f>
        <v/>
      </c>
    </row>
    <row r="301">
      <c r="A301">
        <f>NAV!A302</f>
        <v/>
      </c>
      <c r="B301">
        <f>IFERROR(NAV!B302/NAV!B301-1,"")</f>
        <v/>
      </c>
      <c r="C301">
        <f>IFERROR(NAV!C302/NAV!C301-1,"")</f>
        <v/>
      </c>
    </row>
    <row r="302">
      <c r="A302">
        <f>NAV!A303</f>
        <v/>
      </c>
      <c r="B302">
        <f>IFERROR(NAV!B303/NAV!B302-1,"")</f>
        <v/>
      </c>
      <c r="C302">
        <f>IFERROR(NAV!C303/NAV!C302-1,"")</f>
        <v/>
      </c>
    </row>
    <row r="303">
      <c r="A303">
        <f>NAV!A304</f>
        <v/>
      </c>
      <c r="B303">
        <f>IFERROR(NAV!B304/NAV!B303-1,"")</f>
        <v/>
      </c>
      <c r="C303">
        <f>IFERROR(NAV!C304/NAV!C303-1,"")</f>
        <v/>
      </c>
    </row>
    <row r="304">
      <c r="A304">
        <f>NAV!A305</f>
        <v/>
      </c>
      <c r="B304">
        <f>IFERROR(NAV!B305/NAV!B304-1,"")</f>
        <v/>
      </c>
      <c r="C304">
        <f>IFERROR(NAV!C305/NAV!C304-1,"")</f>
        <v/>
      </c>
    </row>
    <row r="305">
      <c r="A305">
        <f>NAV!A306</f>
        <v/>
      </c>
      <c r="B305">
        <f>IFERROR(NAV!B306/NAV!B305-1,"")</f>
        <v/>
      </c>
      <c r="C305">
        <f>IFERROR(NAV!C306/NAV!C305-1,"")</f>
        <v/>
      </c>
    </row>
    <row r="306">
      <c r="A306">
        <f>NAV!A307</f>
        <v/>
      </c>
      <c r="B306">
        <f>IFERROR(NAV!B307/NAV!B306-1,"")</f>
        <v/>
      </c>
      <c r="C306">
        <f>IFERROR(NAV!C307/NAV!C306-1,"")</f>
        <v/>
      </c>
    </row>
    <row r="307">
      <c r="A307">
        <f>NAV!A308</f>
        <v/>
      </c>
      <c r="B307">
        <f>IFERROR(NAV!B308/NAV!B307-1,"")</f>
        <v/>
      </c>
      <c r="C307">
        <f>IFERROR(NAV!C308/NAV!C307-1,"")</f>
        <v/>
      </c>
    </row>
    <row r="308">
      <c r="A308">
        <f>NAV!A309</f>
        <v/>
      </c>
      <c r="B308">
        <f>IFERROR(NAV!B309/NAV!B308-1,"")</f>
        <v/>
      </c>
      <c r="C308">
        <f>IFERROR(NAV!C309/NAV!C308-1,"")</f>
        <v/>
      </c>
    </row>
    <row r="309">
      <c r="A309">
        <f>NAV!A310</f>
        <v/>
      </c>
      <c r="B309">
        <f>IFERROR(NAV!B310/NAV!B309-1,"")</f>
        <v/>
      </c>
      <c r="C309">
        <f>IFERROR(NAV!C310/NAV!C309-1,"")</f>
        <v/>
      </c>
    </row>
    <row r="310">
      <c r="A310">
        <f>NAV!A311</f>
        <v/>
      </c>
      <c r="B310">
        <f>IFERROR(NAV!B311/NAV!B310-1,"")</f>
        <v/>
      </c>
      <c r="C310">
        <f>IFERROR(NAV!C311/NAV!C310-1,"")</f>
        <v/>
      </c>
    </row>
    <row r="311">
      <c r="A311">
        <f>NAV!A312</f>
        <v/>
      </c>
      <c r="B311">
        <f>IFERROR(NAV!B312/NAV!B311-1,"")</f>
        <v/>
      </c>
      <c r="C311">
        <f>IFERROR(NAV!C312/NAV!C311-1,"")</f>
        <v/>
      </c>
    </row>
    <row r="312">
      <c r="A312">
        <f>NAV!A313</f>
        <v/>
      </c>
      <c r="B312">
        <f>IFERROR(NAV!B313/NAV!B312-1,"")</f>
        <v/>
      </c>
      <c r="C312">
        <f>IFERROR(NAV!C313/NAV!C312-1,"")</f>
        <v/>
      </c>
    </row>
    <row r="313">
      <c r="A313">
        <f>NAV!A314</f>
        <v/>
      </c>
      <c r="B313">
        <f>IFERROR(NAV!B314/NAV!B313-1,"")</f>
        <v/>
      </c>
      <c r="C313">
        <f>IFERROR(NAV!C314/NAV!C313-1,"")</f>
        <v/>
      </c>
    </row>
    <row r="314">
      <c r="A314">
        <f>NAV!A315</f>
        <v/>
      </c>
      <c r="B314">
        <f>IFERROR(NAV!B315/NAV!B314-1,"")</f>
        <v/>
      </c>
      <c r="C314">
        <f>IFERROR(NAV!C315/NAV!C314-1,"")</f>
        <v/>
      </c>
    </row>
    <row r="315">
      <c r="A315">
        <f>NAV!A316</f>
        <v/>
      </c>
      <c r="B315">
        <f>IFERROR(NAV!B316/NAV!B315-1,"")</f>
        <v/>
      </c>
      <c r="C315">
        <f>IFERROR(NAV!C316/NAV!C315-1,"")</f>
        <v/>
      </c>
    </row>
    <row r="316">
      <c r="A316">
        <f>NAV!A317</f>
        <v/>
      </c>
      <c r="B316">
        <f>IFERROR(NAV!B317/NAV!B316-1,"")</f>
        <v/>
      </c>
      <c r="C316">
        <f>IFERROR(NAV!C317/NAV!C316-1,"")</f>
        <v/>
      </c>
    </row>
    <row r="317">
      <c r="A317">
        <f>NAV!A318</f>
        <v/>
      </c>
      <c r="B317">
        <f>IFERROR(NAV!B318/NAV!B317-1,"")</f>
        <v/>
      </c>
      <c r="C317">
        <f>IFERROR(NAV!C318/NAV!C317-1,"")</f>
        <v/>
      </c>
    </row>
    <row r="318">
      <c r="A318">
        <f>NAV!A319</f>
        <v/>
      </c>
      <c r="B318">
        <f>IFERROR(NAV!B319/NAV!B318-1,"")</f>
        <v/>
      </c>
      <c r="C318">
        <f>IFERROR(NAV!C319/NAV!C318-1,"")</f>
        <v/>
      </c>
    </row>
    <row r="319">
      <c r="A319">
        <f>NAV!A320</f>
        <v/>
      </c>
      <c r="B319">
        <f>IFERROR(NAV!B320/NAV!B319-1,"")</f>
        <v/>
      </c>
      <c r="C319">
        <f>IFERROR(NAV!C320/NAV!C319-1,"")</f>
        <v/>
      </c>
    </row>
    <row r="320">
      <c r="A320">
        <f>NAV!A321</f>
        <v/>
      </c>
      <c r="B320">
        <f>IFERROR(NAV!B321/NAV!B320-1,"")</f>
        <v/>
      </c>
      <c r="C320">
        <f>IFERROR(NAV!C321/NAV!C320-1,"")</f>
        <v/>
      </c>
    </row>
    <row r="321">
      <c r="A321">
        <f>NAV!A322</f>
        <v/>
      </c>
      <c r="B321">
        <f>IFERROR(NAV!B322/NAV!B321-1,"")</f>
        <v/>
      </c>
      <c r="C321">
        <f>IFERROR(NAV!C322/NAV!C321-1,"")</f>
        <v/>
      </c>
    </row>
    <row r="322">
      <c r="A322">
        <f>NAV!A323</f>
        <v/>
      </c>
      <c r="B322">
        <f>IFERROR(NAV!B323/NAV!B322-1,"")</f>
        <v/>
      </c>
      <c r="C322">
        <f>IFERROR(NAV!C323/NAV!C322-1,"")</f>
        <v/>
      </c>
    </row>
    <row r="323">
      <c r="A323">
        <f>NAV!A324</f>
        <v/>
      </c>
      <c r="B323">
        <f>IFERROR(NAV!B324/NAV!B323-1,"")</f>
        <v/>
      </c>
      <c r="C323">
        <f>IFERROR(NAV!C324/NAV!C323-1,"")</f>
        <v/>
      </c>
    </row>
    <row r="324">
      <c r="A324">
        <f>NAV!A325</f>
        <v/>
      </c>
      <c r="B324">
        <f>IFERROR(NAV!B325/NAV!B324-1,"")</f>
        <v/>
      </c>
      <c r="C324">
        <f>IFERROR(NAV!C325/NAV!C324-1,"")</f>
        <v/>
      </c>
    </row>
    <row r="325">
      <c r="A325">
        <f>NAV!A326</f>
        <v/>
      </c>
      <c r="B325">
        <f>IFERROR(NAV!B326/NAV!B325-1,"")</f>
        <v/>
      </c>
      <c r="C325">
        <f>IFERROR(NAV!C326/NAV!C325-1,"")</f>
        <v/>
      </c>
    </row>
    <row r="326">
      <c r="A326">
        <f>NAV!A327</f>
        <v/>
      </c>
      <c r="B326">
        <f>IFERROR(NAV!B327/NAV!B326-1,"")</f>
        <v/>
      </c>
      <c r="C326">
        <f>IFERROR(NAV!C327/NAV!C326-1,"")</f>
        <v/>
      </c>
    </row>
    <row r="327">
      <c r="A327">
        <f>NAV!A328</f>
        <v/>
      </c>
      <c r="B327">
        <f>IFERROR(NAV!B328/NAV!B327-1,"")</f>
        <v/>
      </c>
      <c r="C327">
        <f>IFERROR(NAV!C328/NAV!C327-1,"")</f>
        <v/>
      </c>
    </row>
    <row r="328">
      <c r="A328">
        <f>NAV!A329</f>
        <v/>
      </c>
      <c r="B328">
        <f>IFERROR(NAV!B329/NAV!B328-1,"")</f>
        <v/>
      </c>
      <c r="C328">
        <f>IFERROR(NAV!C329/NAV!C328-1,"")</f>
        <v/>
      </c>
    </row>
    <row r="329">
      <c r="A329">
        <f>NAV!A330</f>
        <v/>
      </c>
      <c r="B329">
        <f>IFERROR(NAV!B330/NAV!B329-1,"")</f>
        <v/>
      </c>
      <c r="C329">
        <f>IFERROR(NAV!C330/NAV!C329-1,"")</f>
        <v/>
      </c>
    </row>
    <row r="330">
      <c r="A330">
        <f>NAV!A331</f>
        <v/>
      </c>
      <c r="B330">
        <f>IFERROR(NAV!B331/NAV!B330-1,"")</f>
        <v/>
      </c>
      <c r="C330">
        <f>IFERROR(NAV!C331/NAV!C330-1,"")</f>
        <v/>
      </c>
    </row>
    <row r="331">
      <c r="A331">
        <f>NAV!A332</f>
        <v/>
      </c>
      <c r="B331">
        <f>IFERROR(NAV!B332/NAV!B331-1,"")</f>
        <v/>
      </c>
      <c r="C331">
        <f>IFERROR(NAV!C332/NAV!C331-1,"")</f>
        <v/>
      </c>
    </row>
    <row r="332">
      <c r="A332">
        <f>NAV!A333</f>
        <v/>
      </c>
      <c r="B332">
        <f>IFERROR(NAV!B333/NAV!B332-1,"")</f>
        <v/>
      </c>
      <c r="C332">
        <f>IFERROR(NAV!C333/NAV!C332-1,"")</f>
        <v/>
      </c>
    </row>
    <row r="333">
      <c r="A333">
        <f>NAV!A334</f>
        <v/>
      </c>
      <c r="B333">
        <f>IFERROR(NAV!B334/NAV!B333-1,"")</f>
        <v/>
      </c>
      <c r="C333">
        <f>IFERROR(NAV!C334/NAV!C333-1,"")</f>
        <v/>
      </c>
    </row>
    <row r="334">
      <c r="A334">
        <f>NAV!A335</f>
        <v/>
      </c>
      <c r="B334">
        <f>IFERROR(NAV!B335/NAV!B334-1,"")</f>
        <v/>
      </c>
      <c r="C334">
        <f>IFERROR(NAV!C335/NAV!C334-1,"")</f>
        <v/>
      </c>
    </row>
    <row r="335">
      <c r="A335">
        <f>NAV!A336</f>
        <v/>
      </c>
      <c r="B335">
        <f>IFERROR(NAV!B336/NAV!B335-1,"")</f>
        <v/>
      </c>
      <c r="C335">
        <f>IFERROR(NAV!C336/NAV!C335-1,"")</f>
        <v/>
      </c>
    </row>
    <row r="336">
      <c r="A336">
        <f>NAV!A337</f>
        <v/>
      </c>
      <c r="B336">
        <f>IFERROR(NAV!B337/NAV!B336-1,"")</f>
        <v/>
      </c>
      <c r="C336">
        <f>IFERROR(NAV!C337/NAV!C336-1,"")</f>
        <v/>
      </c>
    </row>
    <row r="337">
      <c r="A337">
        <f>NAV!A338</f>
        <v/>
      </c>
      <c r="B337">
        <f>IFERROR(NAV!B338/NAV!B337-1,"")</f>
        <v/>
      </c>
      <c r="C337">
        <f>IFERROR(NAV!C338/NAV!C337-1,"")</f>
        <v/>
      </c>
    </row>
    <row r="338">
      <c r="A338">
        <f>NAV!A339</f>
        <v/>
      </c>
      <c r="B338">
        <f>IFERROR(NAV!B339/NAV!B338-1,"")</f>
        <v/>
      </c>
      <c r="C338">
        <f>IFERROR(NAV!C339/NAV!C338-1,"")</f>
        <v/>
      </c>
    </row>
    <row r="339">
      <c r="A339">
        <f>NAV!A340</f>
        <v/>
      </c>
      <c r="B339">
        <f>IFERROR(NAV!B340/NAV!B339-1,"")</f>
        <v/>
      </c>
      <c r="C339">
        <f>IFERROR(NAV!C340/NAV!C339-1,"")</f>
        <v/>
      </c>
    </row>
    <row r="340">
      <c r="A340">
        <f>NAV!A341</f>
        <v/>
      </c>
      <c r="B340">
        <f>IFERROR(NAV!B341/NAV!B340-1,"")</f>
        <v/>
      </c>
      <c r="C340">
        <f>IFERROR(NAV!C341/NAV!C340-1,"")</f>
        <v/>
      </c>
    </row>
    <row r="341">
      <c r="A341">
        <f>NAV!A342</f>
        <v/>
      </c>
      <c r="B341">
        <f>IFERROR(NAV!B342/NAV!B341-1,"")</f>
        <v/>
      </c>
      <c r="C341">
        <f>IFERROR(NAV!C342/NAV!C341-1,"")</f>
        <v/>
      </c>
    </row>
    <row r="342">
      <c r="A342">
        <f>NAV!A343</f>
        <v/>
      </c>
      <c r="B342">
        <f>IFERROR(NAV!B343/NAV!B342-1,"")</f>
        <v/>
      </c>
      <c r="C342">
        <f>IFERROR(NAV!C343/NAV!C342-1,"")</f>
        <v/>
      </c>
    </row>
    <row r="343">
      <c r="A343">
        <f>NAV!A344</f>
        <v/>
      </c>
      <c r="B343">
        <f>IFERROR(NAV!B344/NAV!B343-1,"")</f>
        <v/>
      </c>
      <c r="C343">
        <f>IFERROR(NAV!C344/NAV!C343-1,"")</f>
        <v/>
      </c>
    </row>
    <row r="344">
      <c r="A344">
        <f>NAV!A345</f>
        <v/>
      </c>
      <c r="B344">
        <f>IFERROR(NAV!B345/NAV!B344-1,"")</f>
        <v/>
      </c>
      <c r="C344">
        <f>IFERROR(NAV!C345/NAV!C344-1,"")</f>
        <v/>
      </c>
    </row>
    <row r="345">
      <c r="A345">
        <f>NAV!A346</f>
        <v/>
      </c>
      <c r="B345">
        <f>IFERROR(NAV!B346/NAV!B345-1,"")</f>
        <v/>
      </c>
      <c r="C345">
        <f>IFERROR(NAV!C346/NAV!C345-1,"")</f>
        <v/>
      </c>
    </row>
    <row r="346">
      <c r="A346">
        <f>NAV!A347</f>
        <v/>
      </c>
      <c r="B346">
        <f>IFERROR(NAV!B347/NAV!B346-1,"")</f>
        <v/>
      </c>
      <c r="C346">
        <f>IFERROR(NAV!C347/NAV!C346-1,"")</f>
        <v/>
      </c>
    </row>
    <row r="347">
      <c r="A347">
        <f>NAV!A348</f>
        <v/>
      </c>
      <c r="B347">
        <f>IFERROR(NAV!B348/NAV!B347-1,"")</f>
        <v/>
      </c>
      <c r="C347">
        <f>IFERROR(NAV!C348/NAV!C347-1,"")</f>
        <v/>
      </c>
    </row>
    <row r="348">
      <c r="A348">
        <f>NAV!A349</f>
        <v/>
      </c>
      <c r="B348">
        <f>IFERROR(NAV!B349/NAV!B348-1,"")</f>
        <v/>
      </c>
      <c r="C348">
        <f>IFERROR(NAV!C349/NAV!C348-1,"")</f>
        <v/>
      </c>
    </row>
    <row r="349">
      <c r="A349">
        <f>NAV!A350</f>
        <v/>
      </c>
      <c r="B349">
        <f>IFERROR(NAV!B350/NAV!B349-1,"")</f>
        <v/>
      </c>
      <c r="C349">
        <f>IFERROR(NAV!C350/NAV!C349-1,"")</f>
        <v/>
      </c>
    </row>
    <row r="350">
      <c r="A350">
        <f>NAV!A351</f>
        <v/>
      </c>
      <c r="B350">
        <f>IFERROR(NAV!B351/NAV!B350-1,"")</f>
        <v/>
      </c>
      <c r="C350">
        <f>IFERROR(NAV!C351/NAV!C350-1,"")</f>
        <v/>
      </c>
    </row>
    <row r="351">
      <c r="A351">
        <f>NAV!A352</f>
        <v/>
      </c>
      <c r="B351">
        <f>IFERROR(NAV!B352/NAV!B351-1,"")</f>
        <v/>
      </c>
      <c r="C351">
        <f>IFERROR(NAV!C352/NAV!C351-1,"")</f>
        <v/>
      </c>
    </row>
    <row r="352">
      <c r="A352">
        <f>NAV!A353</f>
        <v/>
      </c>
      <c r="B352">
        <f>IFERROR(NAV!B353/NAV!B352-1,"")</f>
        <v/>
      </c>
      <c r="C352">
        <f>IFERROR(NAV!C353/NAV!C352-1,"")</f>
        <v/>
      </c>
    </row>
    <row r="353">
      <c r="A353">
        <f>NAV!A354</f>
        <v/>
      </c>
      <c r="B353">
        <f>IFERROR(NAV!B354/NAV!B353-1,"")</f>
        <v/>
      </c>
      <c r="C353">
        <f>IFERROR(NAV!C354/NAV!C353-1,"")</f>
        <v/>
      </c>
    </row>
    <row r="354">
      <c r="A354">
        <f>NAV!A355</f>
        <v/>
      </c>
      <c r="B354">
        <f>IFERROR(NAV!B355/NAV!B354-1,"")</f>
        <v/>
      </c>
      <c r="C354">
        <f>IFERROR(NAV!C355/NAV!C354-1,"")</f>
        <v/>
      </c>
    </row>
    <row r="355">
      <c r="A355">
        <f>NAV!A356</f>
        <v/>
      </c>
      <c r="B355">
        <f>IFERROR(NAV!B356/NAV!B355-1,"")</f>
        <v/>
      </c>
      <c r="C355">
        <f>IFERROR(NAV!C356/NAV!C355-1,"")</f>
        <v/>
      </c>
    </row>
    <row r="356">
      <c r="A356">
        <f>NAV!A357</f>
        <v/>
      </c>
      <c r="B356">
        <f>IFERROR(NAV!B357/NAV!B356-1,"")</f>
        <v/>
      </c>
      <c r="C356">
        <f>IFERROR(NAV!C357/NAV!C356-1,"")</f>
        <v/>
      </c>
    </row>
    <row r="357">
      <c r="A357">
        <f>NAV!A358</f>
        <v/>
      </c>
      <c r="B357">
        <f>IFERROR(NAV!B358/NAV!B357-1,"")</f>
        <v/>
      </c>
      <c r="C357">
        <f>IFERROR(NAV!C358/NAV!C357-1,"")</f>
        <v/>
      </c>
    </row>
    <row r="358">
      <c r="A358">
        <f>NAV!A359</f>
        <v/>
      </c>
      <c r="B358">
        <f>IFERROR(NAV!B359/NAV!B358-1,"")</f>
        <v/>
      </c>
      <c r="C358">
        <f>IFERROR(NAV!C359/NAV!C358-1,"")</f>
        <v/>
      </c>
    </row>
    <row r="359">
      <c r="A359">
        <f>NAV!A360</f>
        <v/>
      </c>
      <c r="B359">
        <f>IFERROR(NAV!B360/NAV!B359-1,"")</f>
        <v/>
      </c>
      <c r="C359">
        <f>IFERROR(NAV!C360/NAV!C359-1,"")</f>
        <v/>
      </c>
    </row>
    <row r="360">
      <c r="A360">
        <f>NAV!A361</f>
        <v/>
      </c>
      <c r="B360">
        <f>IFERROR(NAV!B361/NAV!B360-1,"")</f>
        <v/>
      </c>
      <c r="C360">
        <f>IFERROR(NAV!C361/NAV!C360-1,"")</f>
        <v/>
      </c>
    </row>
    <row r="361">
      <c r="A361">
        <f>NAV!A362</f>
        <v/>
      </c>
      <c r="B361">
        <f>IFERROR(NAV!B362/NAV!B361-1,"")</f>
        <v/>
      </c>
      <c r="C361">
        <f>IFERROR(NAV!C362/NAV!C361-1,"")</f>
        <v/>
      </c>
    </row>
    <row r="362">
      <c r="A362">
        <f>NAV!A363</f>
        <v/>
      </c>
      <c r="B362">
        <f>IFERROR(NAV!B363/NAV!B362-1,"")</f>
        <v/>
      </c>
      <c r="C362">
        <f>IFERROR(NAV!C363/NAV!C362-1,"")</f>
        <v/>
      </c>
    </row>
    <row r="363">
      <c r="A363">
        <f>NAV!A364</f>
        <v/>
      </c>
      <c r="B363">
        <f>IFERROR(NAV!B364/NAV!B363-1,"")</f>
        <v/>
      </c>
      <c r="C363">
        <f>IFERROR(NAV!C364/NAV!C363-1,"")</f>
        <v/>
      </c>
    </row>
    <row r="364">
      <c r="A364">
        <f>NAV!A365</f>
        <v/>
      </c>
      <c r="B364">
        <f>IFERROR(NAV!B365/NAV!B364-1,"")</f>
        <v/>
      </c>
      <c r="C364">
        <f>IFERROR(NAV!C365/NAV!C364-1,"")</f>
        <v/>
      </c>
    </row>
    <row r="365">
      <c r="A365">
        <f>NAV!A366</f>
        <v/>
      </c>
      <c r="B365">
        <f>IFERROR(NAV!B366/NAV!B365-1,"")</f>
        <v/>
      </c>
      <c r="C365">
        <f>IFERROR(NAV!C366/NAV!C365-1,"")</f>
        <v/>
      </c>
    </row>
    <row r="366">
      <c r="A366">
        <f>NAV!A367</f>
        <v/>
      </c>
      <c r="B366">
        <f>IFERROR(NAV!B367/NAV!B366-1,"")</f>
        <v/>
      </c>
      <c r="C366">
        <f>IFERROR(NAV!C367/NAV!C366-1,"")</f>
        <v/>
      </c>
    </row>
    <row r="367">
      <c r="A367">
        <f>NAV!A368</f>
        <v/>
      </c>
      <c r="B367">
        <f>IFERROR(NAV!B368/NAV!B367-1,"")</f>
        <v/>
      </c>
      <c r="C367">
        <f>IFERROR(NAV!C368/NAV!C367-1,"")</f>
        <v/>
      </c>
    </row>
    <row r="368">
      <c r="A368">
        <f>NAV!A369</f>
        <v/>
      </c>
      <c r="B368">
        <f>IFERROR(NAV!B369/NAV!B368-1,"")</f>
        <v/>
      </c>
      <c r="C368">
        <f>IFERROR(NAV!C369/NAV!C368-1,"")</f>
        <v/>
      </c>
    </row>
    <row r="369">
      <c r="A369">
        <f>NAV!A370</f>
        <v/>
      </c>
      <c r="B369">
        <f>IFERROR(NAV!B370/NAV!B369-1,"")</f>
        <v/>
      </c>
      <c r="C369">
        <f>IFERROR(NAV!C370/NAV!C369-1,"")</f>
        <v/>
      </c>
    </row>
    <row r="370">
      <c r="A370">
        <f>NAV!A371</f>
        <v/>
      </c>
      <c r="B370">
        <f>IFERROR(NAV!B371/NAV!B370-1,"")</f>
        <v/>
      </c>
      <c r="C370">
        <f>IFERROR(NAV!C371/NAV!C370-1,"")</f>
        <v/>
      </c>
    </row>
    <row r="371">
      <c r="A371">
        <f>NAV!A372</f>
        <v/>
      </c>
      <c r="B371">
        <f>IFERROR(NAV!B372/NAV!B371-1,"")</f>
        <v/>
      </c>
      <c r="C371">
        <f>IFERROR(NAV!C372/NAV!C371-1,"")</f>
        <v/>
      </c>
    </row>
    <row r="372">
      <c r="A372">
        <f>NAV!A373</f>
        <v/>
      </c>
      <c r="B372">
        <f>IFERROR(NAV!B373/NAV!B372-1,"")</f>
        <v/>
      </c>
      <c r="C372">
        <f>IFERROR(NAV!C373/NAV!C372-1,"")</f>
        <v/>
      </c>
    </row>
    <row r="373">
      <c r="A373">
        <f>NAV!A374</f>
        <v/>
      </c>
      <c r="B373">
        <f>IFERROR(NAV!B374/NAV!B373-1,"")</f>
        <v/>
      </c>
      <c r="C373">
        <f>IFERROR(NAV!C374/NAV!C373-1,"")</f>
        <v/>
      </c>
    </row>
    <row r="374">
      <c r="A374">
        <f>NAV!A375</f>
        <v/>
      </c>
      <c r="B374">
        <f>IFERROR(NAV!B375/NAV!B374-1,"")</f>
        <v/>
      </c>
      <c r="C374">
        <f>IFERROR(NAV!C375/NAV!C374-1,"")</f>
        <v/>
      </c>
    </row>
    <row r="375">
      <c r="A375">
        <f>NAV!A376</f>
        <v/>
      </c>
      <c r="B375">
        <f>IFERROR(NAV!B376/NAV!B375-1,"")</f>
        <v/>
      </c>
      <c r="C375">
        <f>IFERROR(NAV!C376/NAV!C375-1,"")</f>
        <v/>
      </c>
    </row>
    <row r="376">
      <c r="A376">
        <f>NAV!A377</f>
        <v/>
      </c>
      <c r="B376">
        <f>IFERROR(NAV!B377/NAV!B376-1,"")</f>
        <v/>
      </c>
      <c r="C376">
        <f>IFERROR(NAV!C377/NAV!C376-1,"")</f>
        <v/>
      </c>
    </row>
    <row r="377">
      <c r="A377">
        <f>NAV!A378</f>
        <v/>
      </c>
      <c r="B377">
        <f>IFERROR(NAV!B378/NAV!B377-1,"")</f>
        <v/>
      </c>
      <c r="C377">
        <f>IFERROR(NAV!C378/NAV!C377-1,"")</f>
        <v/>
      </c>
    </row>
    <row r="378">
      <c r="A378">
        <f>NAV!A379</f>
        <v/>
      </c>
      <c r="B378">
        <f>IFERROR(NAV!B379/NAV!B378-1,"")</f>
        <v/>
      </c>
      <c r="C378">
        <f>IFERROR(NAV!C379/NAV!C378-1,"")</f>
        <v/>
      </c>
    </row>
    <row r="379">
      <c r="A379">
        <f>NAV!A380</f>
        <v/>
      </c>
      <c r="B379">
        <f>IFERROR(NAV!B380/NAV!B379-1,"")</f>
        <v/>
      </c>
      <c r="C379">
        <f>IFERROR(NAV!C380/NAV!C379-1,"")</f>
        <v/>
      </c>
    </row>
    <row r="380">
      <c r="A380">
        <f>NAV!A381</f>
        <v/>
      </c>
      <c r="B380">
        <f>IFERROR(NAV!B381/NAV!B380-1,"")</f>
        <v/>
      </c>
      <c r="C380">
        <f>IFERROR(NAV!C381/NAV!C380-1,"")</f>
        <v/>
      </c>
    </row>
    <row r="381">
      <c r="A381">
        <f>NAV!A382</f>
        <v/>
      </c>
      <c r="B381">
        <f>IFERROR(NAV!B382/NAV!B381-1,"")</f>
        <v/>
      </c>
      <c r="C381">
        <f>IFERROR(NAV!C382/NAV!C381-1,"")</f>
        <v/>
      </c>
    </row>
    <row r="382">
      <c r="A382">
        <f>NAV!A383</f>
        <v/>
      </c>
      <c r="B382">
        <f>IFERROR(NAV!B383/NAV!B382-1,"")</f>
        <v/>
      </c>
      <c r="C382">
        <f>IFERROR(NAV!C383/NAV!C382-1,"")</f>
        <v/>
      </c>
    </row>
    <row r="383">
      <c r="A383">
        <f>NAV!A384</f>
        <v/>
      </c>
      <c r="B383">
        <f>IFERROR(NAV!B384/NAV!B383-1,"")</f>
        <v/>
      </c>
      <c r="C383">
        <f>IFERROR(NAV!C384/NAV!C383-1,"")</f>
        <v/>
      </c>
    </row>
    <row r="384">
      <c r="A384">
        <f>NAV!A385</f>
        <v/>
      </c>
      <c r="B384">
        <f>IFERROR(NAV!B385/NAV!B384-1,"")</f>
        <v/>
      </c>
      <c r="C384">
        <f>IFERROR(NAV!C385/NAV!C384-1,"")</f>
        <v/>
      </c>
    </row>
    <row r="385">
      <c r="A385">
        <f>NAV!A386</f>
        <v/>
      </c>
      <c r="B385">
        <f>IFERROR(NAV!B386/NAV!B385-1,"")</f>
        <v/>
      </c>
      <c r="C385">
        <f>IFERROR(NAV!C386/NAV!C385-1,"")</f>
        <v/>
      </c>
    </row>
    <row r="386">
      <c r="A386">
        <f>NAV!A387</f>
        <v/>
      </c>
      <c r="B386">
        <f>IFERROR(NAV!B387/NAV!B386-1,"")</f>
        <v/>
      </c>
      <c r="C386">
        <f>IFERROR(NAV!C387/NAV!C386-1,"")</f>
        <v/>
      </c>
    </row>
    <row r="387">
      <c r="A387">
        <f>NAV!A388</f>
        <v/>
      </c>
      <c r="B387">
        <f>IFERROR(NAV!B388/NAV!B387-1,"")</f>
        <v/>
      </c>
      <c r="C387">
        <f>IFERROR(NAV!C388/NAV!C387-1,"")</f>
        <v/>
      </c>
    </row>
    <row r="388">
      <c r="A388">
        <f>NAV!A389</f>
        <v/>
      </c>
      <c r="B388">
        <f>IFERROR(NAV!B389/NAV!B388-1,"")</f>
        <v/>
      </c>
      <c r="C388">
        <f>IFERROR(NAV!C389/NAV!C388-1,"")</f>
        <v/>
      </c>
    </row>
    <row r="389">
      <c r="A389">
        <f>NAV!A390</f>
        <v/>
      </c>
      <c r="B389">
        <f>IFERROR(NAV!B390/NAV!B389-1,"")</f>
        <v/>
      </c>
      <c r="C389">
        <f>IFERROR(NAV!C390/NAV!C389-1,"")</f>
        <v/>
      </c>
    </row>
    <row r="390">
      <c r="A390">
        <f>NAV!A391</f>
        <v/>
      </c>
      <c r="B390">
        <f>IFERROR(NAV!B391/NAV!B390-1,"")</f>
        <v/>
      </c>
      <c r="C390">
        <f>IFERROR(NAV!C391/NAV!C390-1,"")</f>
        <v/>
      </c>
    </row>
    <row r="391">
      <c r="A391">
        <f>NAV!A392</f>
        <v/>
      </c>
      <c r="B391">
        <f>IFERROR(NAV!B392/NAV!B391-1,"")</f>
        <v/>
      </c>
      <c r="C391">
        <f>IFERROR(NAV!C392/NAV!C391-1,"")</f>
        <v/>
      </c>
    </row>
    <row r="392">
      <c r="A392">
        <f>NAV!A393</f>
        <v/>
      </c>
      <c r="B392">
        <f>IFERROR(NAV!B393/NAV!B392-1,"")</f>
        <v/>
      </c>
      <c r="C392">
        <f>IFERROR(NAV!C393/NAV!C392-1,"")</f>
        <v/>
      </c>
    </row>
    <row r="393">
      <c r="A393">
        <f>NAV!A394</f>
        <v/>
      </c>
      <c r="B393">
        <f>IFERROR(NAV!B394/NAV!B393-1,"")</f>
        <v/>
      </c>
      <c r="C393">
        <f>IFERROR(NAV!C394/NAV!C393-1,"")</f>
        <v/>
      </c>
    </row>
    <row r="394">
      <c r="A394">
        <f>NAV!A395</f>
        <v/>
      </c>
      <c r="B394">
        <f>IFERROR(NAV!B395/NAV!B394-1,"")</f>
        <v/>
      </c>
      <c r="C394">
        <f>IFERROR(NAV!C395/NAV!C394-1,"")</f>
        <v/>
      </c>
    </row>
    <row r="395">
      <c r="A395">
        <f>NAV!A396</f>
        <v/>
      </c>
      <c r="B395">
        <f>IFERROR(NAV!B396/NAV!B395-1,"")</f>
        <v/>
      </c>
      <c r="C395">
        <f>IFERROR(NAV!C396/NAV!C395-1,"")</f>
        <v/>
      </c>
    </row>
    <row r="396">
      <c r="A396">
        <f>NAV!A397</f>
        <v/>
      </c>
      <c r="B396">
        <f>IFERROR(NAV!B397/NAV!B396-1,"")</f>
        <v/>
      </c>
      <c r="C396">
        <f>IFERROR(NAV!C397/NAV!C396-1,"")</f>
        <v/>
      </c>
    </row>
    <row r="397">
      <c r="A397">
        <f>NAV!A398</f>
        <v/>
      </c>
      <c r="B397">
        <f>IFERROR(NAV!B398/NAV!B397-1,"")</f>
        <v/>
      </c>
      <c r="C397">
        <f>IFERROR(NAV!C398/NAV!C397-1,"")</f>
        <v/>
      </c>
    </row>
    <row r="398">
      <c r="A398">
        <f>NAV!A399</f>
        <v/>
      </c>
      <c r="B398">
        <f>IFERROR(NAV!B399/NAV!B398-1,"")</f>
        <v/>
      </c>
      <c r="C398">
        <f>IFERROR(NAV!C399/NAV!C398-1,"")</f>
        <v/>
      </c>
    </row>
    <row r="399">
      <c r="A399">
        <f>NAV!A400</f>
        <v/>
      </c>
      <c r="B399">
        <f>IFERROR(NAV!B400/NAV!B399-1,"")</f>
        <v/>
      </c>
      <c r="C399">
        <f>IFERROR(NAV!C400/NAV!C399-1,"")</f>
        <v/>
      </c>
    </row>
    <row r="400">
      <c r="A400">
        <f>NAV!A401</f>
        <v/>
      </c>
      <c r="B400">
        <f>IFERROR(NAV!B401/NAV!B400-1,"")</f>
        <v/>
      </c>
      <c r="C400">
        <f>IFERROR(NAV!C401/NAV!C400-1,"")</f>
        <v/>
      </c>
    </row>
    <row r="401">
      <c r="A401">
        <f>NAV!A402</f>
        <v/>
      </c>
      <c r="B401">
        <f>IFERROR(NAV!B402/NAV!B401-1,"")</f>
        <v/>
      </c>
      <c r="C401">
        <f>IFERROR(NAV!C402/NAV!C401-1,"")</f>
        <v/>
      </c>
    </row>
    <row r="402">
      <c r="A402">
        <f>NAV!A403</f>
        <v/>
      </c>
      <c r="B402">
        <f>IFERROR(NAV!B403/NAV!B402-1,"")</f>
        <v/>
      </c>
      <c r="C402">
        <f>IFERROR(NAV!C403/NAV!C402-1,"")</f>
        <v/>
      </c>
    </row>
    <row r="403">
      <c r="A403">
        <f>NAV!A404</f>
        <v/>
      </c>
      <c r="B403">
        <f>IFERROR(NAV!B404/NAV!B403-1,"")</f>
        <v/>
      </c>
      <c r="C403">
        <f>IFERROR(NAV!C404/NAV!C403-1,"")</f>
        <v/>
      </c>
    </row>
    <row r="404">
      <c r="A404">
        <f>NAV!A405</f>
        <v/>
      </c>
      <c r="B404">
        <f>IFERROR(NAV!B405/NAV!B404-1,"")</f>
        <v/>
      </c>
      <c r="C404">
        <f>IFERROR(NAV!C405/NAV!C404-1,"")</f>
        <v/>
      </c>
    </row>
    <row r="405">
      <c r="A405">
        <f>NAV!A406</f>
        <v/>
      </c>
      <c r="B405">
        <f>IFERROR(NAV!B406/NAV!B405-1,"")</f>
        <v/>
      </c>
      <c r="C405">
        <f>IFERROR(NAV!C406/NAV!C405-1,"")</f>
        <v/>
      </c>
    </row>
    <row r="406">
      <c r="A406">
        <f>NAV!A407</f>
        <v/>
      </c>
      <c r="B406">
        <f>IFERROR(NAV!B407/NAV!B406-1,"")</f>
        <v/>
      </c>
      <c r="C406">
        <f>IFERROR(NAV!C407/NAV!C406-1,"")</f>
        <v/>
      </c>
    </row>
    <row r="407">
      <c r="A407">
        <f>NAV!A408</f>
        <v/>
      </c>
      <c r="B407">
        <f>IFERROR(NAV!B408/NAV!B407-1,"")</f>
        <v/>
      </c>
      <c r="C407">
        <f>IFERROR(NAV!C408/NAV!C407-1,"")</f>
        <v/>
      </c>
    </row>
    <row r="408">
      <c r="A408">
        <f>NAV!A409</f>
        <v/>
      </c>
      <c r="B408">
        <f>IFERROR(NAV!B409/NAV!B408-1,"")</f>
        <v/>
      </c>
      <c r="C408">
        <f>IFERROR(NAV!C409/NAV!C408-1,"")</f>
        <v/>
      </c>
    </row>
    <row r="409">
      <c r="A409">
        <f>NAV!A410</f>
        <v/>
      </c>
      <c r="B409">
        <f>IFERROR(NAV!B410/NAV!B409-1,"")</f>
        <v/>
      </c>
      <c r="C409">
        <f>IFERROR(NAV!C410/NAV!C409-1,"")</f>
        <v/>
      </c>
    </row>
    <row r="410">
      <c r="A410">
        <f>NAV!A411</f>
        <v/>
      </c>
      <c r="B410">
        <f>IFERROR(NAV!B411/NAV!B410-1,"")</f>
        <v/>
      </c>
      <c r="C410">
        <f>IFERROR(NAV!C411/NAV!C410-1,"")</f>
        <v/>
      </c>
    </row>
    <row r="411">
      <c r="A411">
        <f>NAV!A412</f>
        <v/>
      </c>
      <c r="B411">
        <f>IFERROR(NAV!B412/NAV!B411-1,"")</f>
        <v/>
      </c>
      <c r="C411">
        <f>IFERROR(NAV!C412/NAV!C411-1,"")</f>
        <v/>
      </c>
    </row>
    <row r="412">
      <c r="A412">
        <f>NAV!A413</f>
        <v/>
      </c>
      <c r="B412">
        <f>IFERROR(NAV!B413/NAV!B412-1,"")</f>
        <v/>
      </c>
      <c r="C412">
        <f>IFERROR(NAV!C413/NAV!C412-1,"")</f>
        <v/>
      </c>
    </row>
    <row r="413">
      <c r="A413">
        <f>NAV!A414</f>
        <v/>
      </c>
      <c r="B413">
        <f>IFERROR(NAV!B414/NAV!B413-1,"")</f>
        <v/>
      </c>
      <c r="C413">
        <f>IFERROR(NAV!C414/NAV!C413-1,"")</f>
        <v/>
      </c>
    </row>
    <row r="414">
      <c r="A414">
        <f>NAV!A415</f>
        <v/>
      </c>
      <c r="B414">
        <f>IFERROR(NAV!B415/NAV!B414-1,"")</f>
        <v/>
      </c>
      <c r="C414">
        <f>IFERROR(NAV!C415/NAV!C414-1,"")</f>
        <v/>
      </c>
    </row>
    <row r="415">
      <c r="A415">
        <f>NAV!A416</f>
        <v/>
      </c>
      <c r="B415">
        <f>IFERROR(NAV!B416/NAV!B415-1,"")</f>
        <v/>
      </c>
      <c r="C415">
        <f>IFERROR(NAV!C416/NAV!C415-1,"")</f>
        <v/>
      </c>
    </row>
    <row r="416">
      <c r="A416">
        <f>NAV!A417</f>
        <v/>
      </c>
      <c r="B416">
        <f>IFERROR(NAV!B417/NAV!B416-1,"")</f>
        <v/>
      </c>
      <c r="C416">
        <f>IFERROR(NAV!C417/NAV!C416-1,"")</f>
        <v/>
      </c>
    </row>
    <row r="417">
      <c r="A417">
        <f>NAV!A418</f>
        <v/>
      </c>
      <c r="B417">
        <f>IFERROR(NAV!B418/NAV!B417-1,"")</f>
        <v/>
      </c>
      <c r="C417">
        <f>IFERROR(NAV!C418/NAV!C417-1,"")</f>
        <v/>
      </c>
    </row>
    <row r="418">
      <c r="A418">
        <f>NAV!A419</f>
        <v/>
      </c>
      <c r="B418">
        <f>IFERROR(NAV!B419/NAV!B418-1,"")</f>
        <v/>
      </c>
      <c r="C418">
        <f>IFERROR(NAV!C419/NAV!C418-1,"")</f>
        <v/>
      </c>
    </row>
    <row r="419">
      <c r="A419">
        <f>NAV!A420</f>
        <v/>
      </c>
      <c r="B419">
        <f>IFERROR(NAV!B420/NAV!B419-1,"")</f>
        <v/>
      </c>
      <c r="C419">
        <f>IFERROR(NAV!C420/NAV!C419-1,"")</f>
        <v/>
      </c>
    </row>
    <row r="420">
      <c r="A420">
        <f>NAV!A421</f>
        <v/>
      </c>
      <c r="B420">
        <f>IFERROR(NAV!B421/NAV!B420-1,"")</f>
        <v/>
      </c>
      <c r="C420">
        <f>IFERROR(NAV!C421/NAV!C420-1,"")</f>
        <v/>
      </c>
    </row>
    <row r="421">
      <c r="A421">
        <f>NAV!A422</f>
        <v/>
      </c>
      <c r="B421">
        <f>IFERROR(NAV!B422/NAV!B421-1,"")</f>
        <v/>
      </c>
      <c r="C421">
        <f>IFERROR(NAV!C422/NAV!C421-1,"")</f>
        <v/>
      </c>
    </row>
    <row r="422">
      <c r="A422">
        <f>NAV!A423</f>
        <v/>
      </c>
      <c r="B422">
        <f>IFERROR(NAV!B423/NAV!B422-1,"")</f>
        <v/>
      </c>
      <c r="C422">
        <f>IFERROR(NAV!C423/NAV!C422-1,"")</f>
        <v/>
      </c>
    </row>
    <row r="423">
      <c r="A423">
        <f>NAV!A424</f>
        <v/>
      </c>
      <c r="B423">
        <f>IFERROR(NAV!B424/NAV!B423-1,"")</f>
        <v/>
      </c>
      <c r="C423">
        <f>IFERROR(NAV!C424/NAV!C423-1,"")</f>
        <v/>
      </c>
    </row>
    <row r="424">
      <c r="A424">
        <f>NAV!A425</f>
        <v/>
      </c>
      <c r="B424">
        <f>IFERROR(NAV!B425/NAV!B424-1,"")</f>
        <v/>
      </c>
      <c r="C424">
        <f>IFERROR(NAV!C425/NAV!C424-1,"")</f>
        <v/>
      </c>
    </row>
    <row r="425">
      <c r="A425">
        <f>NAV!A426</f>
        <v/>
      </c>
      <c r="B425">
        <f>IFERROR(NAV!B426/NAV!B425-1,"")</f>
        <v/>
      </c>
      <c r="C425">
        <f>IFERROR(NAV!C426/NAV!C425-1,"")</f>
        <v/>
      </c>
    </row>
    <row r="426">
      <c r="A426">
        <f>NAV!A427</f>
        <v/>
      </c>
      <c r="B426">
        <f>IFERROR(NAV!B427/NAV!B426-1,"")</f>
        <v/>
      </c>
      <c r="C426">
        <f>IFERROR(NAV!C427/NAV!C426-1,"")</f>
        <v/>
      </c>
    </row>
    <row r="427">
      <c r="A427">
        <f>NAV!A428</f>
        <v/>
      </c>
      <c r="B427">
        <f>IFERROR(NAV!B428/NAV!B427-1,"")</f>
        <v/>
      </c>
      <c r="C427">
        <f>IFERROR(NAV!C428/NAV!C427-1,"")</f>
        <v/>
      </c>
    </row>
    <row r="428">
      <c r="A428">
        <f>NAV!A429</f>
        <v/>
      </c>
      <c r="B428">
        <f>IFERROR(NAV!B429/NAV!B428-1,"")</f>
        <v/>
      </c>
      <c r="C428">
        <f>IFERROR(NAV!C429/NAV!C428-1,"")</f>
        <v/>
      </c>
    </row>
    <row r="429">
      <c r="A429">
        <f>NAV!A430</f>
        <v/>
      </c>
      <c r="B429">
        <f>IFERROR(NAV!B430/NAV!B429-1,"")</f>
        <v/>
      </c>
      <c r="C429">
        <f>IFERROR(NAV!C430/NAV!C429-1,"")</f>
        <v/>
      </c>
    </row>
    <row r="430">
      <c r="A430">
        <f>NAV!A431</f>
        <v/>
      </c>
      <c r="B430">
        <f>IFERROR(NAV!B431/NAV!B430-1,"")</f>
        <v/>
      </c>
      <c r="C430">
        <f>IFERROR(NAV!C431/NAV!C430-1,"")</f>
        <v/>
      </c>
    </row>
    <row r="431">
      <c r="A431">
        <f>NAV!A432</f>
        <v/>
      </c>
      <c r="B431">
        <f>IFERROR(NAV!B432/NAV!B431-1,"")</f>
        <v/>
      </c>
      <c r="C431">
        <f>IFERROR(NAV!C432/NAV!C431-1,"")</f>
        <v/>
      </c>
    </row>
    <row r="432">
      <c r="A432">
        <f>NAV!A433</f>
        <v/>
      </c>
      <c r="B432">
        <f>IFERROR(NAV!B433/NAV!B432-1,"")</f>
        <v/>
      </c>
      <c r="C432">
        <f>IFERROR(NAV!C433/NAV!C432-1,"")</f>
        <v/>
      </c>
    </row>
    <row r="433">
      <c r="A433">
        <f>NAV!A434</f>
        <v/>
      </c>
      <c r="B433">
        <f>IFERROR(NAV!B434/NAV!B433-1,"")</f>
        <v/>
      </c>
      <c r="C433">
        <f>IFERROR(NAV!C434/NAV!C433-1,"")</f>
        <v/>
      </c>
    </row>
    <row r="434">
      <c r="A434">
        <f>NAV!A435</f>
        <v/>
      </c>
      <c r="B434">
        <f>IFERROR(NAV!B435/NAV!B434-1,"")</f>
        <v/>
      </c>
      <c r="C434">
        <f>IFERROR(NAV!C435/NAV!C434-1,"")</f>
        <v/>
      </c>
    </row>
    <row r="435">
      <c r="A435">
        <f>NAV!A436</f>
        <v/>
      </c>
      <c r="B435">
        <f>IFERROR(NAV!B436/NAV!B435-1,"")</f>
        <v/>
      </c>
      <c r="C435">
        <f>IFERROR(NAV!C436/NAV!C435-1,"")</f>
        <v/>
      </c>
    </row>
    <row r="436">
      <c r="A436">
        <f>NAV!A437</f>
        <v/>
      </c>
      <c r="B436">
        <f>IFERROR(NAV!B437/NAV!B436-1,"")</f>
        <v/>
      </c>
      <c r="C436">
        <f>IFERROR(NAV!C437/NAV!C436-1,"")</f>
        <v/>
      </c>
    </row>
    <row r="437">
      <c r="A437">
        <f>NAV!A438</f>
        <v/>
      </c>
      <c r="B437">
        <f>IFERROR(NAV!B438/NAV!B437-1,"")</f>
        <v/>
      </c>
      <c r="C437">
        <f>IFERROR(NAV!C438/NAV!C437-1,"")</f>
        <v/>
      </c>
    </row>
    <row r="438">
      <c r="A438">
        <f>NAV!A439</f>
        <v/>
      </c>
      <c r="B438">
        <f>IFERROR(NAV!B439/NAV!B438-1,"")</f>
        <v/>
      </c>
      <c r="C438">
        <f>IFERROR(NAV!C439/NAV!C438-1,"")</f>
        <v/>
      </c>
    </row>
    <row r="439">
      <c r="A439">
        <f>NAV!A440</f>
        <v/>
      </c>
      <c r="B439">
        <f>IFERROR(NAV!B440/NAV!B439-1,"")</f>
        <v/>
      </c>
      <c r="C439">
        <f>IFERROR(NAV!C440/NAV!C439-1,"")</f>
        <v/>
      </c>
    </row>
    <row r="440">
      <c r="A440">
        <f>NAV!A441</f>
        <v/>
      </c>
      <c r="B440">
        <f>IFERROR(NAV!B441/NAV!B440-1,"")</f>
        <v/>
      </c>
      <c r="C440">
        <f>IFERROR(NAV!C441/NAV!C440-1,"")</f>
        <v/>
      </c>
    </row>
    <row r="441">
      <c r="A441">
        <f>NAV!A442</f>
        <v/>
      </c>
      <c r="B441">
        <f>IFERROR(NAV!B442/NAV!B441-1,"")</f>
        <v/>
      </c>
      <c r="C441">
        <f>IFERROR(NAV!C442/NAV!C441-1,"")</f>
        <v/>
      </c>
    </row>
    <row r="442">
      <c r="A442">
        <f>NAV!A443</f>
        <v/>
      </c>
      <c r="B442">
        <f>IFERROR(NAV!B443/NAV!B442-1,"")</f>
        <v/>
      </c>
      <c r="C442">
        <f>IFERROR(NAV!C443/NAV!C442-1,"")</f>
        <v/>
      </c>
    </row>
    <row r="443">
      <c r="A443">
        <f>NAV!A444</f>
        <v/>
      </c>
      <c r="B443">
        <f>IFERROR(NAV!B444/NAV!B443-1,"")</f>
        <v/>
      </c>
      <c r="C443">
        <f>IFERROR(NAV!C444/NAV!C443-1,"")</f>
        <v/>
      </c>
    </row>
    <row r="444">
      <c r="A444">
        <f>NAV!A445</f>
        <v/>
      </c>
      <c r="B444">
        <f>IFERROR(NAV!B445/NAV!B444-1,"")</f>
        <v/>
      </c>
      <c r="C444">
        <f>IFERROR(NAV!C445/NAV!C444-1,"")</f>
        <v/>
      </c>
    </row>
    <row r="445">
      <c r="A445">
        <f>NAV!A446</f>
        <v/>
      </c>
      <c r="B445">
        <f>IFERROR(NAV!B446/NAV!B445-1,"")</f>
        <v/>
      </c>
      <c r="C445">
        <f>IFERROR(NAV!C446/NAV!C445-1,"")</f>
        <v/>
      </c>
    </row>
    <row r="446">
      <c r="A446">
        <f>NAV!A447</f>
        <v/>
      </c>
      <c r="B446">
        <f>IFERROR(NAV!B447/NAV!B446-1,"")</f>
        <v/>
      </c>
      <c r="C446">
        <f>IFERROR(NAV!C447/NAV!C446-1,"")</f>
        <v/>
      </c>
    </row>
    <row r="447">
      <c r="A447">
        <f>NAV!A448</f>
        <v/>
      </c>
      <c r="B447">
        <f>IFERROR(NAV!B448/NAV!B447-1,"")</f>
        <v/>
      </c>
      <c r="C447">
        <f>IFERROR(NAV!C448/NAV!C447-1,"")</f>
        <v/>
      </c>
    </row>
    <row r="448">
      <c r="A448">
        <f>NAV!A449</f>
        <v/>
      </c>
      <c r="B448">
        <f>IFERROR(NAV!B449/NAV!B448-1,"")</f>
        <v/>
      </c>
      <c r="C448">
        <f>IFERROR(NAV!C449/NAV!C448-1,"")</f>
        <v/>
      </c>
    </row>
    <row r="449">
      <c r="A449">
        <f>NAV!A450</f>
        <v/>
      </c>
      <c r="B449">
        <f>IFERROR(NAV!B450/NAV!B449-1,"")</f>
        <v/>
      </c>
      <c r="C449">
        <f>IFERROR(NAV!C450/NAV!C449-1,"")</f>
        <v/>
      </c>
    </row>
    <row r="450">
      <c r="A450">
        <f>NAV!A451</f>
        <v/>
      </c>
      <c r="B450">
        <f>IFERROR(NAV!B451/NAV!B450-1,"")</f>
        <v/>
      </c>
      <c r="C450">
        <f>IFERROR(NAV!C451/NAV!C450-1,"")</f>
        <v/>
      </c>
    </row>
    <row r="451">
      <c r="A451">
        <f>NAV!A452</f>
        <v/>
      </c>
      <c r="B451">
        <f>IFERROR(NAV!B452/NAV!B451-1,"")</f>
        <v/>
      </c>
      <c r="C451">
        <f>IFERROR(NAV!C452/NAV!C451-1,"")</f>
        <v/>
      </c>
    </row>
    <row r="452">
      <c r="A452">
        <f>NAV!A453</f>
        <v/>
      </c>
      <c r="B452">
        <f>IFERROR(NAV!B453/NAV!B452-1,"")</f>
        <v/>
      </c>
      <c r="C452">
        <f>IFERROR(NAV!C453/NAV!C452-1,"")</f>
        <v/>
      </c>
    </row>
    <row r="453">
      <c r="A453">
        <f>NAV!A454</f>
        <v/>
      </c>
      <c r="B453">
        <f>IFERROR(NAV!B454/NAV!B453-1,"")</f>
        <v/>
      </c>
      <c r="C453">
        <f>IFERROR(NAV!C454/NAV!C453-1,"")</f>
        <v/>
      </c>
    </row>
    <row r="454">
      <c r="A454">
        <f>NAV!A455</f>
        <v/>
      </c>
      <c r="B454">
        <f>IFERROR(NAV!B455/NAV!B454-1,"")</f>
        <v/>
      </c>
      <c r="C454">
        <f>IFERROR(NAV!C455/NAV!C454-1,"")</f>
        <v/>
      </c>
    </row>
    <row r="455">
      <c r="A455">
        <f>NAV!A456</f>
        <v/>
      </c>
      <c r="B455">
        <f>IFERROR(NAV!B456/NAV!B455-1,"")</f>
        <v/>
      </c>
      <c r="C455">
        <f>IFERROR(NAV!C456/NAV!C455-1,"")</f>
        <v/>
      </c>
    </row>
    <row r="456">
      <c r="A456">
        <f>NAV!A457</f>
        <v/>
      </c>
      <c r="B456">
        <f>IFERROR(NAV!B457/NAV!B456-1,"")</f>
        <v/>
      </c>
      <c r="C456">
        <f>IFERROR(NAV!C457/NAV!C456-1,"")</f>
        <v/>
      </c>
    </row>
    <row r="457">
      <c r="A457">
        <f>NAV!A458</f>
        <v/>
      </c>
      <c r="B457">
        <f>IFERROR(NAV!B458/NAV!B457-1,"")</f>
        <v/>
      </c>
      <c r="C457">
        <f>IFERROR(NAV!C458/NAV!C457-1,"")</f>
        <v/>
      </c>
    </row>
    <row r="458">
      <c r="A458">
        <f>NAV!A459</f>
        <v/>
      </c>
      <c r="B458">
        <f>IFERROR(NAV!B459/NAV!B458-1,"")</f>
        <v/>
      </c>
      <c r="C458">
        <f>IFERROR(NAV!C459/NAV!C458-1,"")</f>
        <v/>
      </c>
    </row>
    <row r="459">
      <c r="A459">
        <f>NAV!A460</f>
        <v/>
      </c>
      <c r="B459">
        <f>IFERROR(NAV!B460/NAV!B459-1,"")</f>
        <v/>
      </c>
      <c r="C459">
        <f>IFERROR(NAV!C460/NAV!C459-1,"")</f>
        <v/>
      </c>
    </row>
    <row r="460">
      <c r="A460">
        <f>NAV!A461</f>
        <v/>
      </c>
      <c r="B460">
        <f>IFERROR(NAV!B461/NAV!B460-1,"")</f>
        <v/>
      </c>
      <c r="C460">
        <f>IFERROR(NAV!C461/NAV!C460-1,"")</f>
        <v/>
      </c>
    </row>
    <row r="461">
      <c r="A461">
        <f>NAV!A462</f>
        <v/>
      </c>
      <c r="B461">
        <f>IFERROR(NAV!B462/NAV!B461-1,"")</f>
        <v/>
      </c>
      <c r="C461">
        <f>IFERROR(NAV!C462/NAV!C461-1,"")</f>
        <v/>
      </c>
    </row>
    <row r="462">
      <c r="A462">
        <f>NAV!A463</f>
        <v/>
      </c>
      <c r="B462">
        <f>IFERROR(NAV!B463/NAV!B462-1,"")</f>
        <v/>
      </c>
      <c r="C462">
        <f>IFERROR(NAV!C463/NAV!C462-1,"")</f>
        <v/>
      </c>
    </row>
    <row r="463">
      <c r="A463">
        <f>NAV!A464</f>
        <v/>
      </c>
      <c r="B463">
        <f>IFERROR(NAV!B464/NAV!B463-1,"")</f>
        <v/>
      </c>
      <c r="C463">
        <f>IFERROR(NAV!C464/NAV!C463-1,"")</f>
        <v/>
      </c>
    </row>
    <row r="464">
      <c r="A464">
        <f>NAV!A465</f>
        <v/>
      </c>
      <c r="B464">
        <f>IFERROR(NAV!B465/NAV!B464-1,"")</f>
        <v/>
      </c>
      <c r="C464">
        <f>IFERROR(NAV!C465/NAV!C464-1,"")</f>
        <v/>
      </c>
    </row>
    <row r="465">
      <c r="A465">
        <f>NAV!A466</f>
        <v/>
      </c>
      <c r="B465">
        <f>IFERROR(NAV!B466/NAV!B465-1,"")</f>
        <v/>
      </c>
      <c r="C465">
        <f>IFERROR(NAV!C466/NAV!C465-1,"")</f>
        <v/>
      </c>
    </row>
    <row r="466">
      <c r="A466">
        <f>NAV!A467</f>
        <v/>
      </c>
      <c r="B466">
        <f>IFERROR(NAV!B467/NAV!B466-1,"")</f>
        <v/>
      </c>
      <c r="C466">
        <f>IFERROR(NAV!C467/NAV!C466-1,"")</f>
        <v/>
      </c>
    </row>
    <row r="467">
      <c r="A467">
        <f>NAV!A468</f>
        <v/>
      </c>
      <c r="B467">
        <f>IFERROR(NAV!B468/NAV!B467-1,"")</f>
        <v/>
      </c>
      <c r="C467">
        <f>IFERROR(NAV!C468/NAV!C467-1,"")</f>
        <v/>
      </c>
    </row>
    <row r="468">
      <c r="A468">
        <f>NAV!A469</f>
        <v/>
      </c>
      <c r="B468">
        <f>IFERROR(NAV!B469/NAV!B468-1,"")</f>
        <v/>
      </c>
      <c r="C468">
        <f>IFERROR(NAV!C469/NAV!C468-1,"")</f>
        <v/>
      </c>
    </row>
    <row r="469">
      <c r="A469">
        <f>NAV!A470</f>
        <v/>
      </c>
      <c r="B469">
        <f>IFERROR(NAV!B470/NAV!B469-1,"")</f>
        <v/>
      </c>
      <c r="C469">
        <f>IFERROR(NAV!C470/NAV!C469-1,"")</f>
        <v/>
      </c>
    </row>
    <row r="470">
      <c r="A470">
        <f>NAV!A471</f>
        <v/>
      </c>
      <c r="B470">
        <f>IFERROR(NAV!B471/NAV!B470-1,"")</f>
        <v/>
      </c>
      <c r="C470">
        <f>IFERROR(NAV!C471/NAV!C470-1,"")</f>
        <v/>
      </c>
    </row>
    <row r="471">
      <c r="A471">
        <f>NAV!A472</f>
        <v/>
      </c>
      <c r="B471">
        <f>IFERROR(NAV!B472/NAV!B471-1,"")</f>
        <v/>
      </c>
      <c r="C471">
        <f>IFERROR(NAV!C472/NAV!C471-1,"")</f>
        <v/>
      </c>
    </row>
    <row r="472">
      <c r="A472">
        <f>NAV!A473</f>
        <v/>
      </c>
      <c r="B472">
        <f>IFERROR(NAV!B473/NAV!B472-1,"")</f>
        <v/>
      </c>
      <c r="C472">
        <f>IFERROR(NAV!C473/NAV!C472-1,"")</f>
        <v/>
      </c>
    </row>
    <row r="473">
      <c r="A473">
        <f>NAV!A474</f>
        <v/>
      </c>
      <c r="B473">
        <f>IFERROR(NAV!B474/NAV!B473-1,"")</f>
        <v/>
      </c>
      <c r="C473">
        <f>IFERROR(NAV!C474/NAV!C473-1,"")</f>
        <v/>
      </c>
    </row>
    <row r="474">
      <c r="A474">
        <f>NAV!A475</f>
        <v/>
      </c>
      <c r="B474">
        <f>IFERROR(NAV!B475/NAV!B474-1,"")</f>
        <v/>
      </c>
      <c r="C474">
        <f>IFERROR(NAV!C475/NAV!C474-1,"")</f>
        <v/>
      </c>
    </row>
    <row r="475">
      <c r="A475">
        <f>NAV!A476</f>
        <v/>
      </c>
      <c r="B475">
        <f>IFERROR(NAV!B476/NAV!B475-1,"")</f>
        <v/>
      </c>
      <c r="C475">
        <f>IFERROR(NAV!C476/NAV!C475-1,"")</f>
        <v/>
      </c>
    </row>
    <row r="476">
      <c r="A476">
        <f>NAV!A477</f>
        <v/>
      </c>
      <c r="B476">
        <f>IFERROR(NAV!B477/NAV!B476-1,"")</f>
        <v/>
      </c>
      <c r="C476">
        <f>IFERROR(NAV!C477/NAV!C476-1,"")</f>
        <v/>
      </c>
    </row>
    <row r="477">
      <c r="A477">
        <f>NAV!A478</f>
        <v/>
      </c>
      <c r="B477">
        <f>IFERROR(NAV!B478/NAV!B477-1,"")</f>
        <v/>
      </c>
      <c r="C477">
        <f>IFERROR(NAV!C478/NAV!C477-1,"")</f>
        <v/>
      </c>
    </row>
    <row r="478">
      <c r="A478">
        <f>NAV!A479</f>
        <v/>
      </c>
      <c r="B478">
        <f>IFERROR(NAV!B479/NAV!B478-1,"")</f>
        <v/>
      </c>
      <c r="C478">
        <f>IFERROR(NAV!C479/NAV!C478-1,"")</f>
        <v/>
      </c>
    </row>
    <row r="479">
      <c r="A479">
        <f>NAV!A480</f>
        <v/>
      </c>
      <c r="B479">
        <f>IFERROR(NAV!B480/NAV!B479-1,"")</f>
        <v/>
      </c>
      <c r="C479">
        <f>IFERROR(NAV!C480/NAV!C479-1,"")</f>
        <v/>
      </c>
    </row>
    <row r="480">
      <c r="A480">
        <f>NAV!A481</f>
        <v/>
      </c>
      <c r="B480">
        <f>IFERROR(NAV!B481/NAV!B480-1,"")</f>
        <v/>
      </c>
      <c r="C480">
        <f>IFERROR(NAV!C481/NAV!C480-1,"")</f>
        <v/>
      </c>
    </row>
    <row r="481">
      <c r="A481">
        <f>NAV!A482</f>
        <v/>
      </c>
      <c r="B481">
        <f>IFERROR(NAV!B482/NAV!B481-1,"")</f>
        <v/>
      </c>
      <c r="C481">
        <f>IFERROR(NAV!C482/NAV!C481-1,"")</f>
        <v/>
      </c>
    </row>
    <row r="482">
      <c r="A482">
        <f>NAV!A483</f>
        <v/>
      </c>
      <c r="B482">
        <f>IFERROR(NAV!B483/NAV!B482-1,"")</f>
        <v/>
      </c>
      <c r="C482">
        <f>IFERROR(NAV!C483/NAV!C482-1,"")</f>
        <v/>
      </c>
    </row>
    <row r="483">
      <c r="A483">
        <f>NAV!A484</f>
        <v/>
      </c>
      <c r="B483">
        <f>IFERROR(NAV!B484/NAV!B483-1,"")</f>
        <v/>
      </c>
      <c r="C483">
        <f>IFERROR(NAV!C484/NAV!C483-1,"")</f>
        <v/>
      </c>
    </row>
    <row r="484">
      <c r="A484">
        <f>NAV!A485</f>
        <v/>
      </c>
      <c r="B484">
        <f>IFERROR(NAV!B485/NAV!B484-1,"")</f>
        <v/>
      </c>
      <c r="C484">
        <f>IFERROR(NAV!C485/NAV!C484-1,"")</f>
        <v/>
      </c>
    </row>
    <row r="485">
      <c r="A485">
        <f>NAV!A486</f>
        <v/>
      </c>
      <c r="B485">
        <f>IFERROR(NAV!B486/NAV!B485-1,"")</f>
        <v/>
      </c>
      <c r="C485">
        <f>IFERROR(NAV!C486/NAV!C485-1,"")</f>
        <v/>
      </c>
    </row>
    <row r="486">
      <c r="A486">
        <f>NAV!A487</f>
        <v/>
      </c>
      <c r="B486">
        <f>IFERROR(NAV!B487/NAV!B486-1,"")</f>
        <v/>
      </c>
      <c r="C486">
        <f>IFERROR(NAV!C487/NAV!C486-1,"")</f>
        <v/>
      </c>
    </row>
    <row r="487">
      <c r="A487">
        <f>NAV!A488</f>
        <v/>
      </c>
      <c r="B487">
        <f>IFERROR(NAV!B488/NAV!B487-1,"")</f>
        <v/>
      </c>
      <c r="C487">
        <f>IFERROR(NAV!C488/NAV!C487-1,"")</f>
        <v/>
      </c>
    </row>
    <row r="488">
      <c r="A488">
        <f>NAV!A489</f>
        <v/>
      </c>
      <c r="B488">
        <f>IFERROR(NAV!B489/NAV!B488-1,"")</f>
        <v/>
      </c>
      <c r="C488">
        <f>IFERROR(NAV!C489/NAV!C488-1,"")</f>
        <v/>
      </c>
    </row>
    <row r="489">
      <c r="A489">
        <f>NAV!A490</f>
        <v/>
      </c>
      <c r="B489">
        <f>IFERROR(NAV!B490/NAV!B489-1,"")</f>
        <v/>
      </c>
      <c r="C489">
        <f>IFERROR(NAV!C490/NAV!C489-1,"")</f>
        <v/>
      </c>
    </row>
    <row r="490">
      <c r="A490">
        <f>NAV!A491</f>
        <v/>
      </c>
      <c r="B490">
        <f>IFERROR(NAV!B491/NAV!B490-1,"")</f>
        <v/>
      </c>
      <c r="C490">
        <f>IFERROR(NAV!C491/NAV!C490-1,"")</f>
        <v/>
      </c>
    </row>
    <row r="491">
      <c r="A491">
        <f>NAV!A492</f>
        <v/>
      </c>
      <c r="B491">
        <f>IFERROR(NAV!B492/NAV!B491-1,"")</f>
        <v/>
      </c>
      <c r="C491">
        <f>IFERROR(NAV!C492/NAV!C491-1,"")</f>
        <v/>
      </c>
    </row>
    <row r="492">
      <c r="A492">
        <f>NAV!A493</f>
        <v/>
      </c>
      <c r="B492">
        <f>IFERROR(NAV!B493/NAV!B492-1,"")</f>
        <v/>
      </c>
      <c r="C492">
        <f>IFERROR(NAV!C493/NAV!C492-1,"")</f>
        <v/>
      </c>
    </row>
    <row r="493">
      <c r="A493">
        <f>NAV!A494</f>
        <v/>
      </c>
      <c r="B493">
        <f>IFERROR(NAV!B494/NAV!B493-1,"")</f>
        <v/>
      </c>
      <c r="C493">
        <f>IFERROR(NAV!C494/NAV!C493-1,"")</f>
        <v/>
      </c>
    </row>
    <row r="494">
      <c r="A494">
        <f>NAV!A495</f>
        <v/>
      </c>
      <c r="B494">
        <f>IFERROR(NAV!B495/NAV!B494-1,"")</f>
        <v/>
      </c>
      <c r="C494">
        <f>IFERROR(NAV!C495/NAV!C494-1,"")</f>
        <v/>
      </c>
    </row>
    <row r="495">
      <c r="A495">
        <f>NAV!A496</f>
        <v/>
      </c>
      <c r="B495">
        <f>IFERROR(NAV!B496/NAV!B495-1,"")</f>
        <v/>
      </c>
      <c r="C495">
        <f>IFERROR(NAV!C496/NAV!C495-1,"")</f>
        <v/>
      </c>
    </row>
    <row r="496">
      <c r="A496">
        <f>NAV!A497</f>
        <v/>
      </c>
      <c r="B496">
        <f>IFERROR(NAV!B497/NAV!B496-1,"")</f>
        <v/>
      </c>
      <c r="C496">
        <f>IFERROR(NAV!C497/NAV!C496-1,"")</f>
        <v/>
      </c>
    </row>
    <row r="497">
      <c r="A497">
        <f>NAV!A498</f>
        <v/>
      </c>
      <c r="B497">
        <f>IFERROR(NAV!B498/NAV!B497-1,"")</f>
        <v/>
      </c>
      <c r="C497">
        <f>IFERROR(NAV!C498/NAV!C497-1,"")</f>
        <v/>
      </c>
    </row>
    <row r="498">
      <c r="A498">
        <f>NAV!A499</f>
        <v/>
      </c>
      <c r="B498">
        <f>IFERROR(NAV!B499/NAV!B498-1,"")</f>
        <v/>
      </c>
      <c r="C498">
        <f>IFERROR(NAV!C499/NAV!C498-1,"")</f>
        <v/>
      </c>
    </row>
    <row r="499">
      <c r="A499">
        <f>NAV!A500</f>
        <v/>
      </c>
      <c r="B499">
        <f>IFERROR(NAV!B500/NAV!B499-1,"")</f>
        <v/>
      </c>
      <c r="C499">
        <f>IFERROR(NAV!C500/NAV!C499-1,"")</f>
        <v/>
      </c>
    </row>
    <row r="500">
      <c r="A500">
        <f>NAV!A501</f>
        <v/>
      </c>
      <c r="B500">
        <f>IFERROR(NAV!B501/NAV!B500-1,"")</f>
        <v/>
      </c>
      <c r="C500">
        <f>IFERROR(NAV!C501/NAV!C500-1,"")</f>
        <v/>
      </c>
    </row>
    <row r="501">
      <c r="A501">
        <f>NAV!A502</f>
        <v/>
      </c>
      <c r="B501">
        <f>IFERROR(NAV!B502/NAV!B501-1,"")</f>
        <v/>
      </c>
      <c r="C501">
        <f>IFERROR(NAV!C502/NAV!C501-1,"")</f>
        <v/>
      </c>
    </row>
    <row r="502">
      <c r="A502">
        <f>NAV!A503</f>
        <v/>
      </c>
      <c r="B502">
        <f>IFERROR(NAV!B503/NAV!B502-1,"")</f>
        <v/>
      </c>
      <c r="C502">
        <f>IFERROR(NAV!C503/NAV!C502-1,"")</f>
        <v/>
      </c>
    </row>
    <row r="503">
      <c r="A503">
        <f>NAV!A504</f>
        <v/>
      </c>
      <c r="B503">
        <f>IFERROR(NAV!B504/NAV!B503-1,"")</f>
        <v/>
      </c>
      <c r="C503">
        <f>IFERROR(NAV!C504/NAV!C503-1,"")</f>
        <v/>
      </c>
    </row>
    <row r="504">
      <c r="A504">
        <f>NAV!A505</f>
        <v/>
      </c>
      <c r="B504">
        <f>IFERROR(NAV!B505/NAV!B504-1,"")</f>
        <v/>
      </c>
      <c r="C504">
        <f>IFERROR(NAV!C505/NAV!C504-1,"")</f>
        <v/>
      </c>
    </row>
    <row r="505">
      <c r="A505">
        <f>NAV!A506</f>
        <v/>
      </c>
      <c r="B505">
        <f>IFERROR(NAV!B506/NAV!B505-1,"")</f>
        <v/>
      </c>
      <c r="C505">
        <f>IFERROR(NAV!C506/NAV!C505-1,"")</f>
        <v/>
      </c>
    </row>
    <row r="506">
      <c r="A506">
        <f>NAV!A507</f>
        <v/>
      </c>
      <c r="B506">
        <f>IFERROR(NAV!B507/NAV!B506-1,"")</f>
        <v/>
      </c>
      <c r="C506">
        <f>IFERROR(NAV!C507/NAV!C506-1,"")</f>
        <v/>
      </c>
    </row>
    <row r="507">
      <c r="A507">
        <f>NAV!A508</f>
        <v/>
      </c>
      <c r="B507">
        <f>IFERROR(NAV!B508/NAV!B507-1,"")</f>
        <v/>
      </c>
      <c r="C507">
        <f>IFERROR(NAV!C508/NAV!C507-1,"")</f>
        <v/>
      </c>
    </row>
    <row r="508">
      <c r="A508">
        <f>NAV!A509</f>
        <v/>
      </c>
      <c r="B508">
        <f>IFERROR(NAV!B509/NAV!B508-1,"")</f>
        <v/>
      </c>
      <c r="C508">
        <f>IFERROR(NAV!C509/NAV!C508-1,"")</f>
        <v/>
      </c>
    </row>
    <row r="509">
      <c r="A509">
        <f>NAV!A510</f>
        <v/>
      </c>
      <c r="B509">
        <f>IFERROR(NAV!B510/NAV!B509-1,"")</f>
        <v/>
      </c>
      <c r="C509">
        <f>IFERROR(NAV!C510/NAV!C509-1,"")</f>
        <v/>
      </c>
    </row>
    <row r="510">
      <c r="A510">
        <f>NAV!A511</f>
        <v/>
      </c>
      <c r="B510">
        <f>IFERROR(NAV!B511/NAV!B510-1,"")</f>
        <v/>
      </c>
      <c r="C510">
        <f>IFERROR(NAV!C511/NAV!C510-1,"")</f>
        <v/>
      </c>
    </row>
    <row r="511">
      <c r="A511">
        <f>NAV!A512</f>
        <v/>
      </c>
      <c r="B511">
        <f>IFERROR(NAV!B512/NAV!B511-1,"")</f>
        <v/>
      </c>
      <c r="C511">
        <f>IFERROR(NAV!C512/NAV!C511-1,"")</f>
        <v/>
      </c>
    </row>
    <row r="512">
      <c r="A512">
        <f>NAV!A513</f>
        <v/>
      </c>
      <c r="B512">
        <f>IFERROR(NAV!B513/NAV!B512-1,"")</f>
        <v/>
      </c>
      <c r="C512">
        <f>IFERROR(NAV!C513/NAV!C512-1,"")</f>
        <v/>
      </c>
    </row>
    <row r="513">
      <c r="A513">
        <f>NAV!A514</f>
        <v/>
      </c>
      <c r="B513">
        <f>IFERROR(NAV!B514/NAV!B513-1,"")</f>
        <v/>
      </c>
      <c r="C513">
        <f>IFERROR(NAV!C514/NAV!C513-1,"")</f>
        <v/>
      </c>
    </row>
    <row r="514">
      <c r="A514">
        <f>NAV!A515</f>
        <v/>
      </c>
      <c r="B514">
        <f>IFERROR(NAV!B515/NAV!B514-1,"")</f>
        <v/>
      </c>
      <c r="C514">
        <f>IFERROR(NAV!C515/NAV!C514-1,"")</f>
        <v/>
      </c>
    </row>
    <row r="515">
      <c r="A515">
        <f>NAV!A516</f>
        <v/>
      </c>
      <c r="B515">
        <f>IFERROR(NAV!B516/NAV!B515-1,"")</f>
        <v/>
      </c>
      <c r="C515">
        <f>IFERROR(NAV!C516/NAV!C515-1,"")</f>
        <v/>
      </c>
    </row>
    <row r="516">
      <c r="A516">
        <f>NAV!A517</f>
        <v/>
      </c>
      <c r="B516">
        <f>IFERROR(NAV!B517/NAV!B516-1,"")</f>
        <v/>
      </c>
      <c r="C516">
        <f>IFERROR(NAV!C517/NAV!C516-1,"")</f>
        <v/>
      </c>
    </row>
    <row r="517">
      <c r="A517">
        <f>NAV!A518</f>
        <v/>
      </c>
      <c r="B517">
        <f>IFERROR(NAV!B518/NAV!B517-1,"")</f>
        <v/>
      </c>
      <c r="C517">
        <f>IFERROR(NAV!C518/NAV!C517-1,"")</f>
        <v/>
      </c>
    </row>
    <row r="518">
      <c r="A518">
        <f>NAV!A519</f>
        <v/>
      </c>
      <c r="B518">
        <f>IFERROR(NAV!B519/NAV!B518-1,"")</f>
        <v/>
      </c>
      <c r="C518">
        <f>IFERROR(NAV!C519/NAV!C518-1,"")</f>
        <v/>
      </c>
    </row>
    <row r="519">
      <c r="A519">
        <f>NAV!A520</f>
        <v/>
      </c>
      <c r="B519">
        <f>IFERROR(NAV!B520/NAV!B519-1,"")</f>
        <v/>
      </c>
      <c r="C519">
        <f>IFERROR(NAV!C520/NAV!C519-1,"")</f>
        <v/>
      </c>
    </row>
    <row r="520">
      <c r="A520">
        <f>NAV!A521</f>
        <v/>
      </c>
      <c r="B520">
        <f>IFERROR(NAV!B521/NAV!B520-1,"")</f>
        <v/>
      </c>
      <c r="C520">
        <f>IFERROR(NAV!C521/NAV!C520-1,"")</f>
        <v/>
      </c>
    </row>
    <row r="521">
      <c r="A521">
        <f>NAV!A522</f>
        <v/>
      </c>
      <c r="B521">
        <f>IFERROR(NAV!B522/NAV!B521-1,"")</f>
        <v/>
      </c>
      <c r="C521">
        <f>IFERROR(NAV!C522/NAV!C521-1,"")</f>
        <v/>
      </c>
    </row>
    <row r="522">
      <c r="A522">
        <f>NAV!A523</f>
        <v/>
      </c>
      <c r="B522">
        <f>IFERROR(NAV!B523/NAV!B522-1,"")</f>
        <v/>
      </c>
      <c r="C522">
        <f>IFERROR(NAV!C523/NAV!C522-1,"")</f>
        <v/>
      </c>
    </row>
    <row r="523">
      <c r="A523">
        <f>NAV!A524</f>
        <v/>
      </c>
      <c r="B523">
        <f>IFERROR(NAV!B524/NAV!B523-1,"")</f>
        <v/>
      </c>
      <c r="C523">
        <f>IFERROR(NAV!C524/NAV!C523-1,"")</f>
        <v/>
      </c>
    </row>
    <row r="524">
      <c r="A524">
        <f>NAV!A525</f>
        <v/>
      </c>
      <c r="B524">
        <f>IFERROR(NAV!B525/NAV!B524-1,"")</f>
        <v/>
      </c>
      <c r="C524">
        <f>IFERROR(NAV!C525/NAV!C524-1,"")</f>
        <v/>
      </c>
    </row>
    <row r="525">
      <c r="A525">
        <f>NAV!A526</f>
        <v/>
      </c>
      <c r="B525">
        <f>IFERROR(NAV!B526/NAV!B525-1,"")</f>
        <v/>
      </c>
      <c r="C525">
        <f>IFERROR(NAV!C526/NAV!C525-1,"")</f>
        <v/>
      </c>
    </row>
    <row r="526">
      <c r="A526">
        <f>NAV!A527</f>
        <v/>
      </c>
      <c r="B526">
        <f>IFERROR(NAV!B527/NAV!B526-1,"")</f>
        <v/>
      </c>
      <c r="C526">
        <f>IFERROR(NAV!C527/NAV!C526-1,"")</f>
        <v/>
      </c>
    </row>
    <row r="527">
      <c r="A527">
        <f>NAV!A528</f>
        <v/>
      </c>
      <c r="B527">
        <f>IFERROR(NAV!B528/NAV!B527-1,"")</f>
        <v/>
      </c>
      <c r="C527">
        <f>IFERROR(NAV!C528/NAV!C527-1,"")</f>
        <v/>
      </c>
    </row>
    <row r="528">
      <c r="A528">
        <f>NAV!A529</f>
        <v/>
      </c>
      <c r="B528">
        <f>IFERROR(NAV!B529/NAV!B528-1,"")</f>
        <v/>
      </c>
      <c r="C528">
        <f>IFERROR(NAV!C529/NAV!C528-1,"")</f>
        <v/>
      </c>
    </row>
    <row r="529">
      <c r="A529">
        <f>NAV!A530</f>
        <v/>
      </c>
      <c r="B529">
        <f>IFERROR(NAV!B530/NAV!B529-1,"")</f>
        <v/>
      </c>
      <c r="C529">
        <f>IFERROR(NAV!C530/NAV!C529-1,"")</f>
        <v/>
      </c>
    </row>
    <row r="530">
      <c r="A530">
        <f>NAV!A531</f>
        <v/>
      </c>
      <c r="B530">
        <f>IFERROR(NAV!B531/NAV!B530-1,"")</f>
        <v/>
      </c>
      <c r="C530">
        <f>IFERROR(NAV!C531/NAV!C530-1,"")</f>
        <v/>
      </c>
    </row>
    <row r="531">
      <c r="A531">
        <f>NAV!A532</f>
        <v/>
      </c>
      <c r="B531">
        <f>IFERROR(NAV!B532/NAV!B531-1,"")</f>
        <v/>
      </c>
      <c r="C531">
        <f>IFERROR(NAV!C532/NAV!C531-1,"")</f>
        <v/>
      </c>
    </row>
    <row r="532">
      <c r="A532">
        <f>NAV!A533</f>
        <v/>
      </c>
      <c r="B532">
        <f>IFERROR(NAV!B533/NAV!B532-1,"")</f>
        <v/>
      </c>
      <c r="C532">
        <f>IFERROR(NAV!C533/NAV!C532-1,"")</f>
        <v/>
      </c>
    </row>
    <row r="533">
      <c r="A533">
        <f>NAV!A534</f>
        <v/>
      </c>
      <c r="B533">
        <f>IFERROR(NAV!B534/NAV!B533-1,"")</f>
        <v/>
      </c>
      <c r="C533">
        <f>IFERROR(NAV!C534/NAV!C533-1,"")</f>
        <v/>
      </c>
    </row>
    <row r="534">
      <c r="A534">
        <f>NAV!A535</f>
        <v/>
      </c>
      <c r="B534">
        <f>IFERROR(NAV!B535/NAV!B534-1,"")</f>
        <v/>
      </c>
      <c r="C534">
        <f>IFERROR(NAV!C535/NAV!C534-1,"")</f>
        <v/>
      </c>
    </row>
    <row r="535">
      <c r="A535">
        <f>NAV!A536</f>
        <v/>
      </c>
      <c r="B535">
        <f>IFERROR(NAV!B536/NAV!B535-1,"")</f>
        <v/>
      </c>
      <c r="C535">
        <f>IFERROR(NAV!C536/NAV!C535-1,"")</f>
        <v/>
      </c>
    </row>
    <row r="536">
      <c r="A536">
        <f>NAV!A537</f>
        <v/>
      </c>
      <c r="B536">
        <f>IFERROR(NAV!B537/NAV!B536-1,"")</f>
        <v/>
      </c>
      <c r="C536">
        <f>IFERROR(NAV!C537/NAV!C536-1,"")</f>
        <v/>
      </c>
    </row>
    <row r="537">
      <c r="A537">
        <f>NAV!A538</f>
        <v/>
      </c>
      <c r="B537">
        <f>IFERROR(NAV!B538/NAV!B537-1,"")</f>
        <v/>
      </c>
      <c r="C537">
        <f>IFERROR(NAV!C538/NAV!C537-1,"")</f>
        <v/>
      </c>
    </row>
    <row r="538">
      <c r="A538">
        <f>NAV!A539</f>
        <v/>
      </c>
      <c r="B538">
        <f>IFERROR(NAV!B539/NAV!B538-1,"")</f>
        <v/>
      </c>
      <c r="C538">
        <f>IFERROR(NAV!C539/NAV!C538-1,"")</f>
        <v/>
      </c>
    </row>
    <row r="539">
      <c r="A539">
        <f>NAV!A540</f>
        <v/>
      </c>
      <c r="B539">
        <f>IFERROR(NAV!B540/NAV!B539-1,"")</f>
        <v/>
      </c>
      <c r="C539">
        <f>IFERROR(NAV!C540/NAV!C539-1,"")</f>
        <v/>
      </c>
    </row>
    <row r="540">
      <c r="A540">
        <f>NAV!A541</f>
        <v/>
      </c>
      <c r="B540">
        <f>IFERROR(NAV!B541/NAV!B540-1,"")</f>
        <v/>
      </c>
      <c r="C540">
        <f>IFERROR(NAV!C541/NAV!C540-1,"")</f>
        <v/>
      </c>
    </row>
    <row r="541">
      <c r="A541">
        <f>NAV!A542</f>
        <v/>
      </c>
      <c r="B541">
        <f>IFERROR(NAV!B542/NAV!B541-1,"")</f>
        <v/>
      </c>
      <c r="C541">
        <f>IFERROR(NAV!C542/NAV!C541-1,"")</f>
        <v/>
      </c>
    </row>
    <row r="542">
      <c r="A542">
        <f>NAV!A543</f>
        <v/>
      </c>
      <c r="B542">
        <f>IFERROR(NAV!B543/NAV!B542-1,"")</f>
        <v/>
      </c>
      <c r="C542">
        <f>IFERROR(NAV!C543/NAV!C542-1,"")</f>
        <v/>
      </c>
    </row>
    <row r="543">
      <c r="A543">
        <f>NAV!A544</f>
        <v/>
      </c>
      <c r="B543">
        <f>IFERROR(NAV!B544/NAV!B543-1,"")</f>
        <v/>
      </c>
      <c r="C543">
        <f>IFERROR(NAV!C544/NAV!C543-1,"")</f>
        <v/>
      </c>
    </row>
    <row r="544">
      <c r="A544">
        <f>NAV!A545</f>
        <v/>
      </c>
      <c r="B544">
        <f>IFERROR(NAV!B545/NAV!B544-1,"")</f>
        <v/>
      </c>
      <c r="C544">
        <f>IFERROR(NAV!C545/NAV!C544-1,"")</f>
        <v/>
      </c>
    </row>
    <row r="545">
      <c r="A545">
        <f>NAV!A546</f>
        <v/>
      </c>
      <c r="B545">
        <f>IFERROR(NAV!B546/NAV!B545-1,"")</f>
        <v/>
      </c>
      <c r="C545">
        <f>IFERROR(NAV!C546/NAV!C545-1,"")</f>
        <v/>
      </c>
    </row>
    <row r="546">
      <c r="A546">
        <f>NAV!A547</f>
        <v/>
      </c>
      <c r="B546">
        <f>IFERROR(NAV!B547/NAV!B546-1,"")</f>
        <v/>
      </c>
      <c r="C546">
        <f>IFERROR(NAV!C547/NAV!C546-1,"")</f>
        <v/>
      </c>
    </row>
    <row r="547">
      <c r="A547">
        <f>NAV!A548</f>
        <v/>
      </c>
      <c r="B547">
        <f>IFERROR(NAV!B548/NAV!B547-1,"")</f>
        <v/>
      </c>
      <c r="C547">
        <f>IFERROR(NAV!C548/NAV!C547-1,"")</f>
        <v/>
      </c>
    </row>
    <row r="548">
      <c r="A548">
        <f>NAV!A549</f>
        <v/>
      </c>
      <c r="B548">
        <f>IFERROR(NAV!B549/NAV!B548-1,"")</f>
        <v/>
      </c>
      <c r="C548">
        <f>IFERROR(NAV!C549/NAV!C548-1,"")</f>
        <v/>
      </c>
    </row>
    <row r="549">
      <c r="A549">
        <f>NAV!A550</f>
        <v/>
      </c>
      <c r="B549">
        <f>IFERROR(NAV!B550/NAV!B549-1,"")</f>
        <v/>
      </c>
      <c r="C549">
        <f>IFERROR(NAV!C550/NAV!C549-1,"")</f>
        <v/>
      </c>
    </row>
    <row r="550">
      <c r="A550">
        <f>NAV!A551</f>
        <v/>
      </c>
      <c r="B550">
        <f>IFERROR(NAV!B551/NAV!B550-1,"")</f>
        <v/>
      </c>
      <c r="C550">
        <f>IFERROR(NAV!C551/NAV!C550-1,"")</f>
        <v/>
      </c>
    </row>
    <row r="551">
      <c r="A551">
        <f>NAV!A552</f>
        <v/>
      </c>
      <c r="B551">
        <f>IFERROR(NAV!B552/NAV!B551-1,"")</f>
        <v/>
      </c>
      <c r="C551">
        <f>IFERROR(NAV!C552/NAV!C551-1,"")</f>
        <v/>
      </c>
    </row>
    <row r="552">
      <c r="A552">
        <f>NAV!A553</f>
        <v/>
      </c>
      <c r="B552">
        <f>IFERROR(NAV!B553/NAV!B552-1,"")</f>
        <v/>
      </c>
      <c r="C552">
        <f>IFERROR(NAV!C553/NAV!C552-1,"")</f>
        <v/>
      </c>
    </row>
    <row r="553">
      <c r="A553">
        <f>NAV!A554</f>
        <v/>
      </c>
      <c r="B553">
        <f>IFERROR(NAV!B554/NAV!B553-1,"")</f>
        <v/>
      </c>
      <c r="C553">
        <f>IFERROR(NAV!C554/NAV!C553-1,"")</f>
        <v/>
      </c>
    </row>
    <row r="554">
      <c r="A554">
        <f>NAV!A555</f>
        <v/>
      </c>
      <c r="B554">
        <f>IFERROR(NAV!B555/NAV!B554-1,"")</f>
        <v/>
      </c>
      <c r="C554">
        <f>IFERROR(NAV!C555/NAV!C554-1,"")</f>
        <v/>
      </c>
    </row>
    <row r="555">
      <c r="A555">
        <f>NAV!A556</f>
        <v/>
      </c>
      <c r="B555">
        <f>IFERROR(NAV!B556/NAV!B555-1,"")</f>
        <v/>
      </c>
      <c r="C555">
        <f>IFERROR(NAV!C556/NAV!C555-1,"")</f>
        <v/>
      </c>
    </row>
    <row r="556">
      <c r="A556">
        <f>NAV!A557</f>
        <v/>
      </c>
      <c r="B556">
        <f>IFERROR(NAV!B557/NAV!B556-1,"")</f>
        <v/>
      </c>
      <c r="C556">
        <f>IFERROR(NAV!C557/NAV!C556-1,"")</f>
        <v/>
      </c>
    </row>
    <row r="557">
      <c r="A557">
        <f>NAV!A558</f>
        <v/>
      </c>
      <c r="B557">
        <f>IFERROR(NAV!B558/NAV!B557-1,"")</f>
        <v/>
      </c>
      <c r="C557">
        <f>IFERROR(NAV!C558/NAV!C557-1,"")</f>
        <v/>
      </c>
    </row>
    <row r="558">
      <c r="A558">
        <f>NAV!A559</f>
        <v/>
      </c>
      <c r="B558">
        <f>IFERROR(NAV!B559/NAV!B558-1,"")</f>
        <v/>
      </c>
      <c r="C558">
        <f>IFERROR(NAV!C559/NAV!C558-1,"")</f>
        <v/>
      </c>
    </row>
    <row r="559">
      <c r="A559">
        <f>NAV!A560</f>
        <v/>
      </c>
      <c r="B559">
        <f>IFERROR(NAV!B560/NAV!B559-1,"")</f>
        <v/>
      </c>
      <c r="C559">
        <f>IFERROR(NAV!C560/NAV!C559-1,"")</f>
        <v/>
      </c>
    </row>
    <row r="560">
      <c r="A560">
        <f>NAV!A561</f>
        <v/>
      </c>
      <c r="B560">
        <f>IFERROR(NAV!B561/NAV!B560-1,"")</f>
        <v/>
      </c>
      <c r="C560">
        <f>IFERROR(NAV!C561/NAV!C560-1,"")</f>
        <v/>
      </c>
    </row>
    <row r="561">
      <c r="A561">
        <f>NAV!A562</f>
        <v/>
      </c>
      <c r="B561">
        <f>IFERROR(NAV!B562/NAV!B561-1,"")</f>
        <v/>
      </c>
      <c r="C561">
        <f>IFERROR(NAV!C562/NAV!C561-1,"")</f>
        <v/>
      </c>
    </row>
    <row r="562">
      <c r="A562">
        <f>NAV!A563</f>
        <v/>
      </c>
      <c r="B562">
        <f>IFERROR(NAV!B563/NAV!B562-1,"")</f>
        <v/>
      </c>
      <c r="C562">
        <f>IFERROR(NAV!C563/NAV!C562-1,"")</f>
        <v/>
      </c>
    </row>
    <row r="563">
      <c r="A563">
        <f>NAV!A564</f>
        <v/>
      </c>
      <c r="B563">
        <f>IFERROR(NAV!B564/NAV!B563-1,"")</f>
        <v/>
      </c>
      <c r="C563">
        <f>IFERROR(NAV!C564/NAV!C563-1,"")</f>
        <v/>
      </c>
    </row>
    <row r="564">
      <c r="A564">
        <f>NAV!A565</f>
        <v/>
      </c>
      <c r="B564">
        <f>IFERROR(NAV!B565/NAV!B564-1,"")</f>
        <v/>
      </c>
      <c r="C564">
        <f>IFERROR(NAV!C565/NAV!C564-1,"")</f>
        <v/>
      </c>
    </row>
    <row r="565">
      <c r="A565">
        <f>NAV!A566</f>
        <v/>
      </c>
      <c r="B565">
        <f>IFERROR(NAV!B566/NAV!B565-1,"")</f>
        <v/>
      </c>
      <c r="C565">
        <f>IFERROR(NAV!C566/NAV!C565-1,"")</f>
        <v/>
      </c>
    </row>
    <row r="566">
      <c r="A566">
        <f>NAV!A567</f>
        <v/>
      </c>
      <c r="B566">
        <f>IFERROR(NAV!B567/NAV!B566-1,"")</f>
        <v/>
      </c>
      <c r="C566">
        <f>IFERROR(NAV!C567/NAV!C566-1,"")</f>
        <v/>
      </c>
    </row>
    <row r="567">
      <c r="A567">
        <f>NAV!A568</f>
        <v/>
      </c>
      <c r="B567">
        <f>IFERROR(NAV!B568/NAV!B567-1,"")</f>
        <v/>
      </c>
      <c r="C567">
        <f>IFERROR(NAV!C568/NAV!C567-1,"")</f>
        <v/>
      </c>
    </row>
    <row r="568">
      <c r="A568">
        <f>NAV!A569</f>
        <v/>
      </c>
      <c r="B568">
        <f>IFERROR(NAV!B569/NAV!B568-1,"")</f>
        <v/>
      </c>
      <c r="C568">
        <f>IFERROR(NAV!C569/NAV!C568-1,"")</f>
        <v/>
      </c>
    </row>
    <row r="569">
      <c r="A569">
        <f>NAV!A570</f>
        <v/>
      </c>
      <c r="B569">
        <f>IFERROR(NAV!B570/NAV!B569-1,"")</f>
        <v/>
      </c>
      <c r="C569">
        <f>IFERROR(NAV!C570/NAV!C569-1,"")</f>
        <v/>
      </c>
    </row>
    <row r="570">
      <c r="A570">
        <f>NAV!A571</f>
        <v/>
      </c>
      <c r="B570">
        <f>IFERROR(NAV!B571/NAV!B570-1,"")</f>
        <v/>
      </c>
      <c r="C570">
        <f>IFERROR(NAV!C571/NAV!C570-1,"")</f>
        <v/>
      </c>
    </row>
    <row r="571">
      <c r="A571">
        <f>NAV!A572</f>
        <v/>
      </c>
      <c r="B571">
        <f>IFERROR(NAV!B572/NAV!B571-1,"")</f>
        <v/>
      </c>
      <c r="C571">
        <f>IFERROR(NAV!C572/NAV!C571-1,"")</f>
        <v/>
      </c>
    </row>
    <row r="572">
      <c r="A572">
        <f>NAV!A573</f>
        <v/>
      </c>
      <c r="B572">
        <f>IFERROR(NAV!B573/NAV!B572-1,"")</f>
        <v/>
      </c>
      <c r="C572">
        <f>IFERROR(NAV!C573/NAV!C572-1,"")</f>
        <v/>
      </c>
    </row>
    <row r="573">
      <c r="A573">
        <f>NAV!A574</f>
        <v/>
      </c>
      <c r="B573">
        <f>IFERROR(NAV!B574/NAV!B573-1,"")</f>
        <v/>
      </c>
      <c r="C573">
        <f>IFERROR(NAV!C574/NAV!C573-1,"")</f>
        <v/>
      </c>
    </row>
    <row r="574">
      <c r="A574">
        <f>NAV!A575</f>
        <v/>
      </c>
      <c r="B574">
        <f>IFERROR(NAV!B575/NAV!B574-1,"")</f>
        <v/>
      </c>
      <c r="C574">
        <f>IFERROR(NAV!C575/NAV!C574-1,"")</f>
        <v/>
      </c>
    </row>
    <row r="575">
      <c r="A575">
        <f>NAV!A576</f>
        <v/>
      </c>
      <c r="B575">
        <f>IFERROR(NAV!B576/NAV!B575-1,"")</f>
        <v/>
      </c>
      <c r="C575">
        <f>IFERROR(NAV!C576/NAV!C575-1,"")</f>
        <v/>
      </c>
    </row>
    <row r="576">
      <c r="A576">
        <f>NAV!A577</f>
        <v/>
      </c>
      <c r="B576">
        <f>IFERROR(NAV!B577/NAV!B576-1,"")</f>
        <v/>
      </c>
      <c r="C576">
        <f>IFERROR(NAV!C577/NAV!C576-1,"")</f>
        <v/>
      </c>
    </row>
    <row r="577">
      <c r="A577">
        <f>NAV!A578</f>
        <v/>
      </c>
      <c r="B577">
        <f>IFERROR(NAV!B578/NAV!B577-1,"")</f>
        <v/>
      </c>
      <c r="C577">
        <f>IFERROR(NAV!C578/NAV!C577-1,"")</f>
        <v/>
      </c>
    </row>
    <row r="578">
      <c r="A578">
        <f>NAV!A579</f>
        <v/>
      </c>
      <c r="B578">
        <f>IFERROR(NAV!B579/NAV!B578-1,"")</f>
        <v/>
      </c>
      <c r="C578">
        <f>IFERROR(NAV!C579/NAV!C578-1,"")</f>
        <v/>
      </c>
    </row>
    <row r="579">
      <c r="A579">
        <f>NAV!A580</f>
        <v/>
      </c>
      <c r="B579">
        <f>IFERROR(NAV!B580/NAV!B579-1,"")</f>
        <v/>
      </c>
      <c r="C579">
        <f>IFERROR(NAV!C580/NAV!C579-1,"")</f>
        <v/>
      </c>
    </row>
    <row r="580">
      <c r="A580">
        <f>NAV!A581</f>
        <v/>
      </c>
      <c r="B580">
        <f>IFERROR(NAV!B581/NAV!B580-1,"")</f>
        <v/>
      </c>
      <c r="C580">
        <f>IFERROR(NAV!C581/NAV!C580-1,"")</f>
        <v/>
      </c>
    </row>
    <row r="581">
      <c r="A581">
        <f>NAV!A582</f>
        <v/>
      </c>
      <c r="B581">
        <f>IFERROR(NAV!B582/NAV!B581-1,"")</f>
        <v/>
      </c>
      <c r="C581">
        <f>IFERROR(NAV!C582/NAV!C581-1,"")</f>
        <v/>
      </c>
    </row>
    <row r="582">
      <c r="A582">
        <f>NAV!A583</f>
        <v/>
      </c>
      <c r="B582">
        <f>IFERROR(NAV!B583/NAV!B582-1,"")</f>
        <v/>
      </c>
      <c r="C582">
        <f>IFERROR(NAV!C583/NAV!C582-1,"")</f>
        <v/>
      </c>
    </row>
    <row r="583">
      <c r="A583">
        <f>NAV!A584</f>
        <v/>
      </c>
      <c r="B583">
        <f>IFERROR(NAV!B584/NAV!B583-1,"")</f>
        <v/>
      </c>
      <c r="C583">
        <f>IFERROR(NAV!C584/NAV!C583-1,"")</f>
        <v/>
      </c>
    </row>
    <row r="584">
      <c r="A584">
        <f>NAV!A585</f>
        <v/>
      </c>
      <c r="B584">
        <f>IFERROR(NAV!B585/NAV!B584-1,"")</f>
        <v/>
      </c>
      <c r="C584">
        <f>IFERROR(NAV!C585/NAV!C584-1,"")</f>
        <v/>
      </c>
    </row>
    <row r="585">
      <c r="A585">
        <f>NAV!A586</f>
        <v/>
      </c>
      <c r="B585">
        <f>IFERROR(NAV!B586/NAV!B585-1,"")</f>
        <v/>
      </c>
      <c r="C585">
        <f>IFERROR(NAV!C586/NAV!C585-1,"")</f>
        <v/>
      </c>
    </row>
    <row r="586">
      <c r="A586">
        <f>NAV!A587</f>
        <v/>
      </c>
      <c r="B586">
        <f>IFERROR(NAV!B587/NAV!B586-1,"")</f>
        <v/>
      </c>
      <c r="C586">
        <f>IFERROR(NAV!C587/NAV!C586-1,"")</f>
        <v/>
      </c>
    </row>
    <row r="587">
      <c r="A587">
        <f>NAV!A588</f>
        <v/>
      </c>
      <c r="B587">
        <f>IFERROR(NAV!B588/NAV!B587-1,"")</f>
        <v/>
      </c>
      <c r="C587">
        <f>IFERROR(NAV!C588/NAV!C587-1,"")</f>
        <v/>
      </c>
    </row>
    <row r="588">
      <c r="A588">
        <f>NAV!A589</f>
        <v/>
      </c>
      <c r="B588">
        <f>IFERROR(NAV!B589/NAV!B588-1,"")</f>
        <v/>
      </c>
      <c r="C588">
        <f>IFERROR(NAV!C589/NAV!C588-1,"")</f>
        <v/>
      </c>
    </row>
    <row r="589">
      <c r="A589">
        <f>NAV!A590</f>
        <v/>
      </c>
      <c r="B589">
        <f>IFERROR(NAV!B590/NAV!B589-1,"")</f>
        <v/>
      </c>
      <c r="C589">
        <f>IFERROR(NAV!C590/NAV!C589-1,"")</f>
        <v/>
      </c>
    </row>
    <row r="590">
      <c r="A590">
        <f>NAV!A591</f>
        <v/>
      </c>
      <c r="B590">
        <f>IFERROR(NAV!B591/NAV!B590-1,"")</f>
        <v/>
      </c>
      <c r="C590">
        <f>IFERROR(NAV!C591/NAV!C590-1,"")</f>
        <v/>
      </c>
    </row>
    <row r="591">
      <c r="A591">
        <f>NAV!A592</f>
        <v/>
      </c>
      <c r="B591">
        <f>IFERROR(NAV!B592/NAV!B591-1,"")</f>
        <v/>
      </c>
      <c r="C591">
        <f>IFERROR(NAV!C592/NAV!C591-1,"")</f>
        <v/>
      </c>
    </row>
    <row r="592">
      <c r="A592">
        <f>NAV!A593</f>
        <v/>
      </c>
      <c r="B592">
        <f>IFERROR(NAV!B593/NAV!B592-1,"")</f>
        <v/>
      </c>
      <c r="C592">
        <f>IFERROR(NAV!C593/NAV!C592-1,"")</f>
        <v/>
      </c>
    </row>
    <row r="593">
      <c r="A593">
        <f>NAV!A594</f>
        <v/>
      </c>
      <c r="B593">
        <f>IFERROR(NAV!B594/NAV!B593-1,"")</f>
        <v/>
      </c>
      <c r="C593">
        <f>IFERROR(NAV!C594/NAV!C593-1,"")</f>
        <v/>
      </c>
    </row>
    <row r="594">
      <c r="A594">
        <f>NAV!A595</f>
        <v/>
      </c>
      <c r="B594">
        <f>IFERROR(NAV!B595/NAV!B594-1,"")</f>
        <v/>
      </c>
      <c r="C594">
        <f>IFERROR(NAV!C595/NAV!C594-1,"")</f>
        <v/>
      </c>
    </row>
    <row r="595">
      <c r="A595">
        <f>NAV!A596</f>
        <v/>
      </c>
      <c r="B595">
        <f>IFERROR(NAV!B596/NAV!B595-1,"")</f>
        <v/>
      </c>
      <c r="C595">
        <f>IFERROR(NAV!C596/NAV!C595-1,"")</f>
        <v/>
      </c>
    </row>
    <row r="596">
      <c r="A596">
        <f>NAV!A597</f>
        <v/>
      </c>
      <c r="B596">
        <f>IFERROR(NAV!B597/NAV!B596-1,"")</f>
        <v/>
      </c>
      <c r="C596">
        <f>IFERROR(NAV!C597/NAV!C596-1,"")</f>
        <v/>
      </c>
    </row>
    <row r="597">
      <c r="A597">
        <f>NAV!A598</f>
        <v/>
      </c>
      <c r="B597">
        <f>IFERROR(NAV!B598/NAV!B597-1,"")</f>
        <v/>
      </c>
      <c r="C597">
        <f>IFERROR(NAV!C598/NAV!C597-1,"")</f>
        <v/>
      </c>
    </row>
    <row r="598">
      <c r="A598">
        <f>NAV!A599</f>
        <v/>
      </c>
      <c r="B598">
        <f>IFERROR(NAV!B599/NAV!B598-1,"")</f>
        <v/>
      </c>
      <c r="C598">
        <f>IFERROR(NAV!C599/NAV!C598-1,"")</f>
        <v/>
      </c>
    </row>
    <row r="599">
      <c r="A599">
        <f>NAV!A600</f>
        <v/>
      </c>
      <c r="B599">
        <f>IFERROR(NAV!B600/NAV!B599-1,"")</f>
        <v/>
      </c>
      <c r="C599">
        <f>IFERROR(NAV!C600/NAV!C599-1,"")</f>
        <v/>
      </c>
    </row>
    <row r="600">
      <c r="A600">
        <f>NAV!A601</f>
        <v/>
      </c>
      <c r="B600">
        <f>IFERROR(NAV!B601/NAV!B600-1,"")</f>
        <v/>
      </c>
      <c r="C600">
        <f>IFERROR(NAV!C601/NAV!C600-1,"")</f>
        <v/>
      </c>
    </row>
    <row r="601">
      <c r="A601">
        <f>NAV!A602</f>
        <v/>
      </c>
      <c r="B601">
        <f>IFERROR(NAV!B602/NAV!B601-1,"")</f>
        <v/>
      </c>
      <c r="C601">
        <f>IFERROR(NAV!C602/NAV!C601-1,"")</f>
        <v/>
      </c>
    </row>
    <row r="602">
      <c r="A602">
        <f>NAV!A603</f>
        <v/>
      </c>
      <c r="B602">
        <f>IFERROR(NAV!B603/NAV!B602-1,"")</f>
        <v/>
      </c>
      <c r="C602">
        <f>IFERROR(NAV!C603/NAV!C602-1,"")</f>
        <v/>
      </c>
    </row>
    <row r="603">
      <c r="A603">
        <f>NAV!A604</f>
        <v/>
      </c>
      <c r="B603">
        <f>IFERROR(NAV!B604/NAV!B603-1,"")</f>
        <v/>
      </c>
      <c r="C603">
        <f>IFERROR(NAV!C604/NAV!C603-1,"")</f>
        <v/>
      </c>
    </row>
    <row r="604">
      <c r="A604">
        <f>NAV!A605</f>
        <v/>
      </c>
      <c r="B604">
        <f>IFERROR(NAV!B605/NAV!B604-1,"")</f>
        <v/>
      </c>
      <c r="C604">
        <f>IFERROR(NAV!C605/NAV!C604-1,"")</f>
        <v/>
      </c>
    </row>
    <row r="605">
      <c r="A605">
        <f>NAV!A606</f>
        <v/>
      </c>
      <c r="B605">
        <f>IFERROR(NAV!B606/NAV!B605-1,"")</f>
        <v/>
      </c>
      <c r="C605">
        <f>IFERROR(NAV!C606/NAV!C605-1,"")</f>
        <v/>
      </c>
    </row>
    <row r="606">
      <c r="A606">
        <f>NAV!A607</f>
        <v/>
      </c>
      <c r="B606">
        <f>IFERROR(NAV!B607/NAV!B606-1,"")</f>
        <v/>
      </c>
      <c r="C606">
        <f>IFERROR(NAV!C607/NAV!C606-1,"")</f>
        <v/>
      </c>
    </row>
    <row r="607">
      <c r="A607">
        <f>NAV!A608</f>
        <v/>
      </c>
      <c r="B607">
        <f>IFERROR(NAV!B608/NAV!B607-1,"")</f>
        <v/>
      </c>
      <c r="C607">
        <f>IFERROR(NAV!C608/NAV!C607-1,"")</f>
        <v/>
      </c>
    </row>
    <row r="608">
      <c r="A608">
        <f>NAV!A609</f>
        <v/>
      </c>
      <c r="B608">
        <f>IFERROR(NAV!B609/NAV!B608-1,"")</f>
        <v/>
      </c>
      <c r="C608">
        <f>IFERROR(NAV!C609/NAV!C608-1,"")</f>
        <v/>
      </c>
    </row>
    <row r="609">
      <c r="A609">
        <f>NAV!A610</f>
        <v/>
      </c>
      <c r="B609">
        <f>IFERROR(NAV!B610/NAV!B609-1,"")</f>
        <v/>
      </c>
      <c r="C609">
        <f>IFERROR(NAV!C610/NAV!C609-1,"")</f>
        <v/>
      </c>
    </row>
    <row r="610">
      <c r="A610">
        <f>NAV!A611</f>
        <v/>
      </c>
      <c r="B610">
        <f>IFERROR(NAV!B611/NAV!B610-1,"")</f>
        <v/>
      </c>
      <c r="C610">
        <f>IFERROR(NAV!C611/NAV!C610-1,"")</f>
        <v/>
      </c>
    </row>
    <row r="611">
      <c r="A611">
        <f>NAV!A612</f>
        <v/>
      </c>
      <c r="B611">
        <f>IFERROR(NAV!B612/NAV!B611-1,"")</f>
        <v/>
      </c>
      <c r="C611">
        <f>IFERROR(NAV!C612/NAV!C611-1,"")</f>
        <v/>
      </c>
    </row>
    <row r="612">
      <c r="A612">
        <f>NAV!A613</f>
        <v/>
      </c>
      <c r="B612">
        <f>IFERROR(NAV!B613/NAV!B612-1,"")</f>
        <v/>
      </c>
      <c r="C612">
        <f>IFERROR(NAV!C613/NAV!C612-1,"")</f>
        <v/>
      </c>
    </row>
    <row r="613">
      <c r="A613">
        <f>NAV!A614</f>
        <v/>
      </c>
      <c r="B613">
        <f>IFERROR(NAV!B614/NAV!B613-1,"")</f>
        <v/>
      </c>
      <c r="C613">
        <f>IFERROR(NAV!C614/NAV!C613-1,"")</f>
        <v/>
      </c>
    </row>
    <row r="614">
      <c r="A614">
        <f>NAV!A615</f>
        <v/>
      </c>
      <c r="B614">
        <f>IFERROR(NAV!B615/NAV!B614-1,"")</f>
        <v/>
      </c>
      <c r="C614">
        <f>IFERROR(NAV!C615/NAV!C614-1,"")</f>
        <v/>
      </c>
    </row>
    <row r="615">
      <c r="A615">
        <f>NAV!A616</f>
        <v/>
      </c>
      <c r="B615">
        <f>IFERROR(NAV!B616/NAV!B615-1,"")</f>
        <v/>
      </c>
      <c r="C615">
        <f>IFERROR(NAV!C616/NAV!C615-1,"")</f>
        <v/>
      </c>
    </row>
    <row r="616">
      <c r="A616">
        <f>NAV!A617</f>
        <v/>
      </c>
      <c r="B616">
        <f>IFERROR(NAV!B617/NAV!B616-1,"")</f>
        <v/>
      </c>
      <c r="C616">
        <f>IFERROR(NAV!C617/NAV!C616-1,"")</f>
        <v/>
      </c>
    </row>
    <row r="617">
      <c r="A617">
        <f>NAV!A618</f>
        <v/>
      </c>
      <c r="B617">
        <f>IFERROR(NAV!B618/NAV!B617-1,"")</f>
        <v/>
      </c>
      <c r="C617">
        <f>IFERROR(NAV!C618/NAV!C617-1,"")</f>
        <v/>
      </c>
    </row>
    <row r="618">
      <c r="A618">
        <f>NAV!A619</f>
        <v/>
      </c>
      <c r="B618">
        <f>IFERROR(NAV!B619/NAV!B618-1,"")</f>
        <v/>
      </c>
      <c r="C618">
        <f>IFERROR(NAV!C619/NAV!C618-1,"")</f>
        <v/>
      </c>
    </row>
    <row r="619">
      <c r="A619">
        <f>NAV!A620</f>
        <v/>
      </c>
      <c r="B619">
        <f>IFERROR(NAV!B620/NAV!B619-1,"")</f>
        <v/>
      </c>
      <c r="C619">
        <f>IFERROR(NAV!C620/NAV!C619-1,"")</f>
        <v/>
      </c>
    </row>
    <row r="620">
      <c r="A620">
        <f>NAV!A621</f>
        <v/>
      </c>
      <c r="B620">
        <f>IFERROR(NAV!B621/NAV!B620-1,"")</f>
        <v/>
      </c>
      <c r="C620">
        <f>IFERROR(NAV!C621/NAV!C620-1,"")</f>
        <v/>
      </c>
    </row>
    <row r="621">
      <c r="A621">
        <f>NAV!A622</f>
        <v/>
      </c>
      <c r="B621">
        <f>IFERROR(NAV!B622/NAV!B621-1,"")</f>
        <v/>
      </c>
      <c r="C621">
        <f>IFERROR(NAV!C622/NAV!C621-1,"")</f>
        <v/>
      </c>
    </row>
    <row r="622">
      <c r="A622">
        <f>NAV!A623</f>
        <v/>
      </c>
      <c r="B622">
        <f>IFERROR(NAV!B623/NAV!B622-1,"")</f>
        <v/>
      </c>
      <c r="C622">
        <f>IFERROR(NAV!C623/NAV!C622-1,"")</f>
        <v/>
      </c>
    </row>
    <row r="623">
      <c r="A623">
        <f>NAV!A624</f>
        <v/>
      </c>
      <c r="B623">
        <f>IFERROR(NAV!B624/NAV!B623-1,"")</f>
        <v/>
      </c>
      <c r="C623">
        <f>IFERROR(NAV!C624/NAV!C623-1,"")</f>
        <v/>
      </c>
    </row>
    <row r="624">
      <c r="A624">
        <f>NAV!A625</f>
        <v/>
      </c>
      <c r="B624">
        <f>IFERROR(NAV!B625/NAV!B624-1,"")</f>
        <v/>
      </c>
      <c r="C624">
        <f>IFERROR(NAV!C625/NAV!C624-1,"")</f>
        <v/>
      </c>
    </row>
    <row r="625">
      <c r="A625">
        <f>NAV!A626</f>
        <v/>
      </c>
      <c r="B625">
        <f>IFERROR(NAV!B626/NAV!B625-1,"")</f>
        <v/>
      </c>
      <c r="C625">
        <f>IFERROR(NAV!C626/NAV!C625-1,"")</f>
        <v/>
      </c>
    </row>
    <row r="626">
      <c r="A626">
        <f>NAV!A627</f>
        <v/>
      </c>
      <c r="B626">
        <f>IFERROR(NAV!B627/NAV!B626-1,"")</f>
        <v/>
      </c>
      <c r="C626">
        <f>IFERROR(NAV!C627/NAV!C626-1,"")</f>
        <v/>
      </c>
    </row>
    <row r="627">
      <c r="A627">
        <f>NAV!A628</f>
        <v/>
      </c>
      <c r="B627">
        <f>IFERROR(NAV!B628/NAV!B627-1,"")</f>
        <v/>
      </c>
      <c r="C627">
        <f>IFERROR(NAV!C628/NAV!C627-1,"")</f>
        <v/>
      </c>
    </row>
    <row r="628">
      <c r="A628">
        <f>NAV!A629</f>
        <v/>
      </c>
      <c r="B628">
        <f>IFERROR(NAV!B629/NAV!B628-1,"")</f>
        <v/>
      </c>
      <c r="C628">
        <f>IFERROR(NAV!C629/NAV!C628-1,"")</f>
        <v/>
      </c>
    </row>
    <row r="629">
      <c r="A629">
        <f>NAV!A630</f>
        <v/>
      </c>
      <c r="B629">
        <f>IFERROR(NAV!B630/NAV!B629-1,"")</f>
        <v/>
      </c>
      <c r="C629">
        <f>IFERROR(NAV!C630/NAV!C629-1,"")</f>
        <v/>
      </c>
    </row>
    <row r="630">
      <c r="A630">
        <f>NAV!A631</f>
        <v/>
      </c>
      <c r="B630">
        <f>IFERROR(NAV!B631/NAV!B630-1,"")</f>
        <v/>
      </c>
      <c r="C630">
        <f>IFERROR(NAV!C631/NAV!C630-1,"")</f>
        <v/>
      </c>
    </row>
    <row r="631">
      <c r="A631">
        <f>NAV!A632</f>
        <v/>
      </c>
      <c r="B631">
        <f>IFERROR(NAV!B632/NAV!B631-1,"")</f>
        <v/>
      </c>
      <c r="C631">
        <f>IFERROR(NAV!C632/NAV!C631-1,"")</f>
        <v/>
      </c>
    </row>
    <row r="632">
      <c r="A632">
        <f>NAV!A633</f>
        <v/>
      </c>
      <c r="B632">
        <f>IFERROR(NAV!B633/NAV!B632-1,"")</f>
        <v/>
      </c>
      <c r="C632">
        <f>IFERROR(NAV!C633/NAV!C632-1,"")</f>
        <v/>
      </c>
    </row>
    <row r="633">
      <c r="A633">
        <f>NAV!A634</f>
        <v/>
      </c>
      <c r="B633">
        <f>IFERROR(NAV!B634/NAV!B633-1,"")</f>
        <v/>
      </c>
      <c r="C633">
        <f>IFERROR(NAV!C634/NAV!C633-1,"")</f>
        <v/>
      </c>
    </row>
    <row r="634">
      <c r="A634">
        <f>NAV!A635</f>
        <v/>
      </c>
      <c r="B634">
        <f>IFERROR(NAV!B635/NAV!B634-1,"")</f>
        <v/>
      </c>
      <c r="C634">
        <f>IFERROR(NAV!C635/NAV!C634-1,"")</f>
        <v/>
      </c>
    </row>
    <row r="635">
      <c r="A635">
        <f>NAV!A636</f>
        <v/>
      </c>
      <c r="B635">
        <f>IFERROR(NAV!B636/NAV!B635-1,"")</f>
        <v/>
      </c>
      <c r="C635">
        <f>IFERROR(NAV!C636/NAV!C635-1,"")</f>
        <v/>
      </c>
    </row>
    <row r="636">
      <c r="A636">
        <f>NAV!A637</f>
        <v/>
      </c>
      <c r="B636">
        <f>IFERROR(NAV!B637/NAV!B636-1,"")</f>
        <v/>
      </c>
      <c r="C636">
        <f>IFERROR(NAV!C637/NAV!C636-1,"")</f>
        <v/>
      </c>
    </row>
    <row r="637">
      <c r="A637">
        <f>NAV!A638</f>
        <v/>
      </c>
      <c r="B637">
        <f>IFERROR(NAV!B638/NAV!B637-1,"")</f>
        <v/>
      </c>
      <c r="C637">
        <f>IFERROR(NAV!C638/NAV!C637-1,"")</f>
        <v/>
      </c>
    </row>
    <row r="638">
      <c r="A638">
        <f>NAV!A639</f>
        <v/>
      </c>
      <c r="B638">
        <f>IFERROR(NAV!B639/NAV!B638-1,"")</f>
        <v/>
      </c>
      <c r="C638">
        <f>IFERROR(NAV!C639/NAV!C638-1,"")</f>
        <v/>
      </c>
    </row>
    <row r="639">
      <c r="A639">
        <f>NAV!A640</f>
        <v/>
      </c>
      <c r="B639">
        <f>IFERROR(NAV!B640/NAV!B639-1,"")</f>
        <v/>
      </c>
      <c r="C639">
        <f>IFERROR(NAV!C640/NAV!C639-1,"")</f>
        <v/>
      </c>
    </row>
    <row r="640">
      <c r="A640">
        <f>NAV!A641</f>
        <v/>
      </c>
      <c r="B640">
        <f>IFERROR(NAV!B641/NAV!B640-1,"")</f>
        <v/>
      </c>
      <c r="C640">
        <f>IFERROR(NAV!C641/NAV!C640-1,"")</f>
        <v/>
      </c>
    </row>
    <row r="641">
      <c r="A641">
        <f>NAV!A642</f>
        <v/>
      </c>
      <c r="B641">
        <f>IFERROR(NAV!B642/NAV!B641-1,"")</f>
        <v/>
      </c>
      <c r="C641">
        <f>IFERROR(NAV!C642/NAV!C641-1,"")</f>
        <v/>
      </c>
    </row>
    <row r="642">
      <c r="A642">
        <f>NAV!A643</f>
        <v/>
      </c>
      <c r="B642">
        <f>IFERROR(NAV!B643/NAV!B642-1,"")</f>
        <v/>
      </c>
      <c r="C642">
        <f>IFERROR(NAV!C643/NAV!C642-1,"")</f>
        <v/>
      </c>
    </row>
    <row r="643">
      <c r="A643">
        <f>NAV!A644</f>
        <v/>
      </c>
      <c r="B643">
        <f>IFERROR(NAV!B644/NAV!B643-1,"")</f>
        <v/>
      </c>
      <c r="C643">
        <f>IFERROR(NAV!C644/NAV!C643-1,"")</f>
        <v/>
      </c>
    </row>
    <row r="644">
      <c r="A644">
        <f>NAV!A645</f>
        <v/>
      </c>
      <c r="B644">
        <f>IFERROR(NAV!B645/NAV!B644-1,"")</f>
        <v/>
      </c>
      <c r="C644">
        <f>IFERROR(NAV!C645/NAV!C644-1,"")</f>
        <v/>
      </c>
    </row>
    <row r="645">
      <c r="A645">
        <f>NAV!A646</f>
        <v/>
      </c>
      <c r="B645">
        <f>IFERROR(NAV!B646/NAV!B645-1,"")</f>
        <v/>
      </c>
      <c r="C645">
        <f>IFERROR(NAV!C646/NAV!C645-1,"")</f>
        <v/>
      </c>
    </row>
    <row r="646">
      <c r="A646">
        <f>NAV!A647</f>
        <v/>
      </c>
      <c r="B646">
        <f>IFERROR(NAV!B647/NAV!B646-1,"")</f>
        <v/>
      </c>
      <c r="C646">
        <f>IFERROR(NAV!C647/NAV!C646-1,"")</f>
        <v/>
      </c>
    </row>
    <row r="647">
      <c r="A647">
        <f>NAV!A648</f>
        <v/>
      </c>
      <c r="B647">
        <f>IFERROR(NAV!B648/NAV!B647-1,"")</f>
        <v/>
      </c>
      <c r="C647">
        <f>IFERROR(NAV!C648/NAV!C647-1,"")</f>
        <v/>
      </c>
    </row>
    <row r="648">
      <c r="A648">
        <f>NAV!A649</f>
        <v/>
      </c>
      <c r="B648">
        <f>IFERROR(NAV!B649/NAV!B648-1,"")</f>
        <v/>
      </c>
      <c r="C648">
        <f>IFERROR(NAV!C649/NAV!C648-1,"")</f>
        <v/>
      </c>
    </row>
    <row r="649">
      <c r="A649">
        <f>NAV!A650</f>
        <v/>
      </c>
      <c r="B649">
        <f>IFERROR(NAV!B650/NAV!B649-1,"")</f>
        <v/>
      </c>
      <c r="C649">
        <f>IFERROR(NAV!C650/NAV!C649-1,"")</f>
        <v/>
      </c>
    </row>
    <row r="650">
      <c r="A650">
        <f>NAV!A651</f>
        <v/>
      </c>
      <c r="B650">
        <f>IFERROR(NAV!B651/NAV!B650-1,"")</f>
        <v/>
      </c>
      <c r="C650">
        <f>IFERROR(NAV!C651/NAV!C650-1,"")</f>
        <v/>
      </c>
    </row>
    <row r="651">
      <c r="A651">
        <f>NAV!A652</f>
        <v/>
      </c>
      <c r="B651">
        <f>IFERROR(NAV!B652/NAV!B651-1,"")</f>
        <v/>
      </c>
      <c r="C651">
        <f>IFERROR(NAV!C652/NAV!C651-1,"")</f>
        <v/>
      </c>
    </row>
    <row r="652">
      <c r="A652">
        <f>NAV!A653</f>
        <v/>
      </c>
      <c r="B652">
        <f>IFERROR(NAV!B653/NAV!B652-1,"")</f>
        <v/>
      </c>
      <c r="C652">
        <f>IFERROR(NAV!C653/NAV!C652-1,"")</f>
        <v/>
      </c>
    </row>
    <row r="653">
      <c r="A653">
        <f>NAV!A654</f>
        <v/>
      </c>
      <c r="B653">
        <f>IFERROR(NAV!B654/NAV!B653-1,"")</f>
        <v/>
      </c>
      <c r="C653">
        <f>IFERROR(NAV!C654/NAV!C653-1,"")</f>
        <v/>
      </c>
    </row>
    <row r="654">
      <c r="A654">
        <f>NAV!A655</f>
        <v/>
      </c>
      <c r="B654">
        <f>IFERROR(NAV!B655/NAV!B654-1,"")</f>
        <v/>
      </c>
      <c r="C654">
        <f>IFERROR(NAV!C655/NAV!C654-1,"")</f>
        <v/>
      </c>
    </row>
    <row r="655">
      <c r="A655">
        <f>NAV!A656</f>
        <v/>
      </c>
      <c r="B655">
        <f>IFERROR(NAV!B656/NAV!B655-1,"")</f>
        <v/>
      </c>
      <c r="C655">
        <f>IFERROR(NAV!C656/NAV!C655-1,"")</f>
        <v/>
      </c>
    </row>
    <row r="656">
      <c r="A656">
        <f>NAV!A657</f>
        <v/>
      </c>
      <c r="B656">
        <f>IFERROR(NAV!B657/NAV!B656-1,"")</f>
        <v/>
      </c>
      <c r="C656">
        <f>IFERROR(NAV!C657/NAV!C656-1,"")</f>
        <v/>
      </c>
    </row>
    <row r="657">
      <c r="A657">
        <f>NAV!A658</f>
        <v/>
      </c>
      <c r="B657">
        <f>IFERROR(NAV!B658/NAV!B657-1,"")</f>
        <v/>
      </c>
      <c r="C657">
        <f>IFERROR(NAV!C658/NAV!C657-1,"")</f>
        <v/>
      </c>
    </row>
    <row r="658">
      <c r="A658">
        <f>NAV!A659</f>
        <v/>
      </c>
      <c r="B658">
        <f>IFERROR(NAV!B659/NAV!B658-1,"")</f>
        <v/>
      </c>
      <c r="C658">
        <f>IFERROR(NAV!C659/NAV!C658-1,"")</f>
        <v/>
      </c>
    </row>
    <row r="659">
      <c r="A659">
        <f>NAV!A660</f>
        <v/>
      </c>
      <c r="B659">
        <f>IFERROR(NAV!B660/NAV!B659-1,"")</f>
        <v/>
      </c>
      <c r="C659">
        <f>IFERROR(NAV!C660/NAV!C659-1,"")</f>
        <v/>
      </c>
    </row>
    <row r="660">
      <c r="A660">
        <f>NAV!A661</f>
        <v/>
      </c>
      <c r="B660">
        <f>IFERROR(NAV!B661/NAV!B660-1,"")</f>
        <v/>
      </c>
      <c r="C660">
        <f>IFERROR(NAV!C661/NAV!C660-1,"")</f>
        <v/>
      </c>
    </row>
    <row r="661">
      <c r="A661">
        <f>NAV!A662</f>
        <v/>
      </c>
      <c r="B661">
        <f>IFERROR(NAV!B662/NAV!B661-1,"")</f>
        <v/>
      </c>
      <c r="C661">
        <f>IFERROR(NAV!C662/NAV!C661-1,"")</f>
        <v/>
      </c>
    </row>
    <row r="662">
      <c r="A662">
        <f>NAV!A663</f>
        <v/>
      </c>
      <c r="B662">
        <f>IFERROR(NAV!B663/NAV!B662-1,"")</f>
        <v/>
      </c>
      <c r="C662">
        <f>IFERROR(NAV!C663/NAV!C662-1,"")</f>
        <v/>
      </c>
    </row>
    <row r="663">
      <c r="A663">
        <f>NAV!A664</f>
        <v/>
      </c>
      <c r="B663">
        <f>IFERROR(NAV!B664/NAV!B663-1,"")</f>
        <v/>
      </c>
      <c r="C663">
        <f>IFERROR(NAV!C664/NAV!C663-1,"")</f>
        <v/>
      </c>
    </row>
    <row r="664">
      <c r="A664">
        <f>NAV!A665</f>
        <v/>
      </c>
      <c r="B664">
        <f>IFERROR(NAV!B665/NAV!B664-1,"")</f>
        <v/>
      </c>
      <c r="C664">
        <f>IFERROR(NAV!C665/NAV!C664-1,"")</f>
        <v/>
      </c>
    </row>
    <row r="665">
      <c r="A665">
        <f>NAV!A666</f>
        <v/>
      </c>
      <c r="B665">
        <f>IFERROR(NAV!B666/NAV!B665-1,"")</f>
        <v/>
      </c>
      <c r="C665">
        <f>IFERROR(NAV!C666/NAV!C665-1,"")</f>
        <v/>
      </c>
    </row>
    <row r="666">
      <c r="A666">
        <f>NAV!A667</f>
        <v/>
      </c>
      <c r="B666">
        <f>IFERROR(NAV!B667/NAV!B666-1,"")</f>
        <v/>
      </c>
      <c r="C666">
        <f>IFERROR(NAV!C667/NAV!C666-1,"")</f>
        <v/>
      </c>
    </row>
    <row r="667">
      <c r="A667">
        <f>NAV!A668</f>
        <v/>
      </c>
      <c r="B667">
        <f>IFERROR(NAV!B668/NAV!B667-1,"")</f>
        <v/>
      </c>
      <c r="C667">
        <f>IFERROR(NAV!C668/NAV!C667-1,"")</f>
        <v/>
      </c>
    </row>
    <row r="668">
      <c r="A668">
        <f>NAV!A669</f>
        <v/>
      </c>
      <c r="B668">
        <f>IFERROR(NAV!B669/NAV!B668-1,"")</f>
        <v/>
      </c>
      <c r="C668">
        <f>IFERROR(NAV!C669/NAV!C668-1,"")</f>
        <v/>
      </c>
    </row>
    <row r="669">
      <c r="A669">
        <f>NAV!A670</f>
        <v/>
      </c>
      <c r="B669">
        <f>IFERROR(NAV!B670/NAV!B669-1,"")</f>
        <v/>
      </c>
      <c r="C669">
        <f>IFERROR(NAV!C670/NAV!C669-1,"")</f>
        <v/>
      </c>
    </row>
    <row r="670">
      <c r="A670">
        <f>NAV!A671</f>
        <v/>
      </c>
      <c r="B670">
        <f>IFERROR(NAV!B671/NAV!B670-1,"")</f>
        <v/>
      </c>
      <c r="C670">
        <f>IFERROR(NAV!C671/NAV!C670-1,"")</f>
        <v/>
      </c>
    </row>
    <row r="671">
      <c r="A671">
        <f>NAV!A672</f>
        <v/>
      </c>
      <c r="B671">
        <f>IFERROR(NAV!B672/NAV!B671-1,"")</f>
        <v/>
      </c>
      <c r="C671">
        <f>IFERROR(NAV!C672/NAV!C671-1,"")</f>
        <v/>
      </c>
    </row>
    <row r="672">
      <c r="A672">
        <f>NAV!A673</f>
        <v/>
      </c>
      <c r="B672">
        <f>IFERROR(NAV!B673/NAV!B672-1,"")</f>
        <v/>
      </c>
      <c r="C672">
        <f>IFERROR(NAV!C673/NAV!C672-1,"")</f>
        <v/>
      </c>
    </row>
    <row r="673">
      <c r="A673">
        <f>NAV!A674</f>
        <v/>
      </c>
      <c r="B673">
        <f>IFERROR(NAV!B674/NAV!B673-1,"")</f>
        <v/>
      </c>
      <c r="C673">
        <f>IFERROR(NAV!C674/NAV!C673-1,"")</f>
        <v/>
      </c>
    </row>
    <row r="674">
      <c r="A674">
        <f>NAV!A675</f>
        <v/>
      </c>
      <c r="B674">
        <f>IFERROR(NAV!B675/NAV!B674-1,"")</f>
        <v/>
      </c>
      <c r="C674">
        <f>IFERROR(NAV!C675/NAV!C674-1,"")</f>
        <v/>
      </c>
    </row>
    <row r="675">
      <c r="A675">
        <f>NAV!A676</f>
        <v/>
      </c>
      <c r="B675">
        <f>IFERROR(NAV!B676/NAV!B675-1,"")</f>
        <v/>
      </c>
      <c r="C675">
        <f>IFERROR(NAV!C676/NAV!C675-1,"")</f>
        <v/>
      </c>
    </row>
    <row r="676">
      <c r="A676">
        <f>NAV!A677</f>
        <v/>
      </c>
      <c r="B676">
        <f>IFERROR(NAV!B677/NAV!B676-1,"")</f>
        <v/>
      </c>
      <c r="C676">
        <f>IFERROR(NAV!C677/NAV!C676-1,"")</f>
        <v/>
      </c>
    </row>
    <row r="677">
      <c r="A677">
        <f>NAV!A678</f>
        <v/>
      </c>
      <c r="B677">
        <f>IFERROR(NAV!B678/NAV!B677-1,"")</f>
        <v/>
      </c>
      <c r="C677">
        <f>IFERROR(NAV!C678/NAV!C677-1,"")</f>
        <v/>
      </c>
    </row>
    <row r="678">
      <c r="A678">
        <f>NAV!A679</f>
        <v/>
      </c>
      <c r="B678">
        <f>IFERROR(NAV!B679/NAV!B678-1,"")</f>
        <v/>
      </c>
      <c r="C678">
        <f>IFERROR(NAV!C679/NAV!C678-1,"")</f>
        <v/>
      </c>
    </row>
    <row r="679">
      <c r="A679">
        <f>NAV!A680</f>
        <v/>
      </c>
      <c r="B679">
        <f>IFERROR(NAV!B680/NAV!B679-1,"")</f>
        <v/>
      </c>
      <c r="C679">
        <f>IFERROR(NAV!C680/NAV!C679-1,"")</f>
        <v/>
      </c>
    </row>
    <row r="680">
      <c r="A680">
        <f>NAV!A681</f>
        <v/>
      </c>
      <c r="B680">
        <f>IFERROR(NAV!B681/NAV!B680-1,"")</f>
        <v/>
      </c>
      <c r="C680">
        <f>IFERROR(NAV!C681/NAV!C680-1,"")</f>
        <v/>
      </c>
    </row>
    <row r="681">
      <c r="A681">
        <f>NAV!A682</f>
        <v/>
      </c>
      <c r="B681">
        <f>IFERROR(NAV!B682/NAV!B681-1,"")</f>
        <v/>
      </c>
      <c r="C681">
        <f>IFERROR(NAV!C682/NAV!C681-1,"")</f>
        <v/>
      </c>
    </row>
    <row r="682">
      <c r="A682">
        <f>NAV!A683</f>
        <v/>
      </c>
      <c r="B682">
        <f>IFERROR(NAV!B683/NAV!B682-1,"")</f>
        <v/>
      </c>
      <c r="C682">
        <f>IFERROR(NAV!C683/NAV!C682-1,"")</f>
        <v/>
      </c>
    </row>
    <row r="683">
      <c r="A683">
        <f>NAV!A684</f>
        <v/>
      </c>
      <c r="B683">
        <f>IFERROR(NAV!B684/NAV!B683-1,"")</f>
        <v/>
      </c>
      <c r="C683">
        <f>IFERROR(NAV!C684/NAV!C683-1,"")</f>
        <v/>
      </c>
    </row>
    <row r="684">
      <c r="A684">
        <f>NAV!A685</f>
        <v/>
      </c>
      <c r="B684">
        <f>IFERROR(NAV!B685/NAV!B684-1,"")</f>
        <v/>
      </c>
      <c r="C684">
        <f>IFERROR(NAV!C685/NAV!C684-1,"")</f>
        <v/>
      </c>
    </row>
    <row r="685">
      <c r="A685">
        <f>NAV!A686</f>
        <v/>
      </c>
      <c r="B685">
        <f>IFERROR(NAV!B686/NAV!B685-1,"")</f>
        <v/>
      </c>
      <c r="C685">
        <f>IFERROR(NAV!C686/NAV!C685-1,"")</f>
        <v/>
      </c>
    </row>
    <row r="686">
      <c r="A686">
        <f>NAV!A687</f>
        <v/>
      </c>
      <c r="B686">
        <f>IFERROR(NAV!B687/NAV!B686-1,"")</f>
        <v/>
      </c>
      <c r="C686">
        <f>IFERROR(NAV!C687/NAV!C686-1,"")</f>
        <v/>
      </c>
    </row>
    <row r="687">
      <c r="A687">
        <f>NAV!A688</f>
        <v/>
      </c>
      <c r="B687">
        <f>IFERROR(NAV!B688/NAV!B687-1,"")</f>
        <v/>
      </c>
      <c r="C687">
        <f>IFERROR(NAV!C688/NAV!C687-1,"")</f>
        <v/>
      </c>
    </row>
    <row r="688">
      <c r="A688">
        <f>NAV!A689</f>
        <v/>
      </c>
      <c r="B688">
        <f>IFERROR(NAV!B689/NAV!B688-1,"")</f>
        <v/>
      </c>
      <c r="C688">
        <f>IFERROR(NAV!C689/NAV!C688-1,"")</f>
        <v/>
      </c>
    </row>
    <row r="689">
      <c r="A689">
        <f>NAV!A690</f>
        <v/>
      </c>
      <c r="B689">
        <f>IFERROR(NAV!B690/NAV!B689-1,"")</f>
        <v/>
      </c>
      <c r="C689">
        <f>IFERROR(NAV!C690/NAV!C689-1,"")</f>
        <v/>
      </c>
    </row>
    <row r="690">
      <c r="A690">
        <f>NAV!A691</f>
        <v/>
      </c>
      <c r="B690">
        <f>IFERROR(NAV!B691/NAV!B690-1,"")</f>
        <v/>
      </c>
      <c r="C690">
        <f>IFERROR(NAV!C691/NAV!C690-1,"")</f>
        <v/>
      </c>
    </row>
    <row r="691">
      <c r="A691">
        <f>NAV!A692</f>
        <v/>
      </c>
      <c r="B691">
        <f>IFERROR(NAV!B692/NAV!B691-1,"")</f>
        <v/>
      </c>
      <c r="C691">
        <f>IFERROR(NAV!C692/NAV!C691-1,"")</f>
        <v/>
      </c>
    </row>
    <row r="692">
      <c r="A692">
        <f>NAV!A693</f>
        <v/>
      </c>
      <c r="B692">
        <f>IFERROR(NAV!B693/NAV!B692-1,"")</f>
        <v/>
      </c>
      <c r="C692">
        <f>IFERROR(NAV!C693/NAV!C692-1,"")</f>
        <v/>
      </c>
    </row>
    <row r="693">
      <c r="A693">
        <f>NAV!A694</f>
        <v/>
      </c>
      <c r="B693">
        <f>IFERROR(NAV!B694/NAV!B693-1,"")</f>
        <v/>
      </c>
      <c r="C693">
        <f>IFERROR(NAV!C694/NAV!C693-1,"")</f>
        <v/>
      </c>
    </row>
    <row r="694">
      <c r="A694">
        <f>NAV!A695</f>
        <v/>
      </c>
      <c r="B694">
        <f>IFERROR(NAV!B695/NAV!B694-1,"")</f>
        <v/>
      </c>
      <c r="C694">
        <f>IFERROR(NAV!C695/NAV!C694-1,"")</f>
        <v/>
      </c>
    </row>
    <row r="695">
      <c r="A695">
        <f>NAV!A696</f>
        <v/>
      </c>
      <c r="B695">
        <f>IFERROR(NAV!B696/NAV!B695-1,"")</f>
        <v/>
      </c>
      <c r="C695">
        <f>IFERROR(NAV!C696/NAV!C695-1,"")</f>
        <v/>
      </c>
    </row>
    <row r="696">
      <c r="A696">
        <f>NAV!A697</f>
        <v/>
      </c>
      <c r="B696">
        <f>IFERROR(NAV!B697/NAV!B696-1,"")</f>
        <v/>
      </c>
      <c r="C696">
        <f>IFERROR(NAV!C697/NAV!C696-1,"")</f>
        <v/>
      </c>
    </row>
    <row r="697">
      <c r="A697">
        <f>NAV!A698</f>
        <v/>
      </c>
      <c r="B697">
        <f>IFERROR(NAV!B698/NAV!B697-1,"")</f>
        <v/>
      </c>
      <c r="C697">
        <f>IFERROR(NAV!C698/NAV!C697-1,"")</f>
        <v/>
      </c>
    </row>
    <row r="698">
      <c r="A698">
        <f>NAV!A699</f>
        <v/>
      </c>
      <c r="B698">
        <f>IFERROR(NAV!B699/NAV!B698-1,"")</f>
        <v/>
      </c>
      <c r="C698">
        <f>IFERROR(NAV!C699/NAV!C698-1,"")</f>
        <v/>
      </c>
    </row>
    <row r="699">
      <c r="A699">
        <f>NAV!A700</f>
        <v/>
      </c>
      <c r="B699">
        <f>IFERROR(NAV!B700/NAV!B699-1,"")</f>
        <v/>
      </c>
      <c r="C699">
        <f>IFERROR(NAV!C700/NAV!C699-1,"")</f>
        <v/>
      </c>
    </row>
    <row r="700">
      <c r="A700">
        <f>NAV!A701</f>
        <v/>
      </c>
      <c r="B700">
        <f>IFERROR(NAV!B701/NAV!B700-1,"")</f>
        <v/>
      </c>
      <c r="C700">
        <f>IFERROR(NAV!C701/NAV!C700-1,"")</f>
        <v/>
      </c>
    </row>
    <row r="701">
      <c r="A701">
        <f>NAV!A702</f>
        <v/>
      </c>
      <c r="B701">
        <f>IFERROR(NAV!B702/NAV!B701-1,"")</f>
        <v/>
      </c>
      <c r="C701">
        <f>IFERROR(NAV!C702/NAV!C701-1,"")</f>
        <v/>
      </c>
    </row>
    <row r="702">
      <c r="A702">
        <f>NAV!A703</f>
        <v/>
      </c>
      <c r="B702">
        <f>IFERROR(NAV!B703/NAV!B702-1,"")</f>
        <v/>
      </c>
      <c r="C702">
        <f>IFERROR(NAV!C703/NAV!C702-1,"")</f>
        <v/>
      </c>
    </row>
    <row r="703">
      <c r="A703">
        <f>NAV!A704</f>
        <v/>
      </c>
      <c r="B703">
        <f>IFERROR(NAV!B704/NAV!B703-1,"")</f>
        <v/>
      </c>
      <c r="C703">
        <f>IFERROR(NAV!C704/NAV!C703-1,"")</f>
        <v/>
      </c>
    </row>
    <row r="704">
      <c r="A704">
        <f>NAV!A705</f>
        <v/>
      </c>
      <c r="B704">
        <f>IFERROR(NAV!B705/NAV!B704-1,"")</f>
        <v/>
      </c>
      <c r="C704">
        <f>IFERROR(NAV!C705/NAV!C704-1,"")</f>
        <v/>
      </c>
    </row>
    <row r="705">
      <c r="A705">
        <f>NAV!A706</f>
        <v/>
      </c>
      <c r="B705">
        <f>IFERROR(NAV!B706/NAV!B705-1,"")</f>
        <v/>
      </c>
      <c r="C705">
        <f>IFERROR(NAV!C706/NAV!C705-1,"")</f>
        <v/>
      </c>
    </row>
    <row r="706">
      <c r="A706">
        <f>NAV!A707</f>
        <v/>
      </c>
      <c r="B706">
        <f>IFERROR(NAV!B707/NAV!B706-1,"")</f>
        <v/>
      </c>
      <c r="C706">
        <f>IFERROR(NAV!C707/NAV!C706-1,"")</f>
        <v/>
      </c>
    </row>
    <row r="707">
      <c r="A707">
        <f>NAV!A708</f>
        <v/>
      </c>
      <c r="B707">
        <f>IFERROR(NAV!B708/NAV!B707-1,"")</f>
        <v/>
      </c>
      <c r="C707">
        <f>IFERROR(NAV!C708/NAV!C707-1,"")</f>
        <v/>
      </c>
    </row>
    <row r="708">
      <c r="A708">
        <f>NAV!A709</f>
        <v/>
      </c>
      <c r="B708">
        <f>IFERROR(NAV!B709/NAV!B708-1,"")</f>
        <v/>
      </c>
      <c r="C708">
        <f>IFERROR(NAV!C709/NAV!C708-1,"")</f>
        <v/>
      </c>
    </row>
    <row r="709">
      <c r="A709">
        <f>NAV!A710</f>
        <v/>
      </c>
      <c r="B709">
        <f>IFERROR(NAV!B710/NAV!B709-1,"")</f>
        <v/>
      </c>
      <c r="C709">
        <f>IFERROR(NAV!C710/NAV!C709-1,"")</f>
        <v/>
      </c>
    </row>
    <row r="710">
      <c r="A710">
        <f>NAV!A711</f>
        <v/>
      </c>
      <c r="B710">
        <f>IFERROR(NAV!B711/NAV!B710-1,"")</f>
        <v/>
      </c>
      <c r="C710">
        <f>IFERROR(NAV!C711/NAV!C710-1,"")</f>
        <v/>
      </c>
    </row>
    <row r="711">
      <c r="A711">
        <f>NAV!A712</f>
        <v/>
      </c>
      <c r="B711">
        <f>IFERROR(NAV!B712/NAV!B711-1,"")</f>
        <v/>
      </c>
      <c r="C711">
        <f>IFERROR(NAV!C712/NAV!C711-1,"")</f>
        <v/>
      </c>
    </row>
    <row r="712">
      <c r="A712">
        <f>NAV!A713</f>
        <v/>
      </c>
      <c r="B712">
        <f>IFERROR(NAV!B713/NAV!B712-1,"")</f>
        <v/>
      </c>
      <c r="C712">
        <f>IFERROR(NAV!C713/NAV!C712-1,"")</f>
        <v/>
      </c>
    </row>
    <row r="713">
      <c r="A713">
        <f>NAV!A714</f>
        <v/>
      </c>
      <c r="B713">
        <f>IFERROR(NAV!B714/NAV!B713-1,"")</f>
        <v/>
      </c>
      <c r="C713">
        <f>IFERROR(NAV!C714/NAV!C713-1,"")</f>
        <v/>
      </c>
    </row>
    <row r="714">
      <c r="A714">
        <f>NAV!A715</f>
        <v/>
      </c>
      <c r="B714">
        <f>IFERROR(NAV!B715/NAV!B714-1,"")</f>
        <v/>
      </c>
      <c r="C714">
        <f>IFERROR(NAV!C715/NAV!C714-1,"")</f>
        <v/>
      </c>
    </row>
    <row r="715">
      <c r="A715">
        <f>NAV!A716</f>
        <v/>
      </c>
      <c r="B715">
        <f>IFERROR(NAV!B716/NAV!B715-1,"")</f>
        <v/>
      </c>
      <c r="C715">
        <f>IFERROR(NAV!C716/NAV!C715-1,"")</f>
        <v/>
      </c>
    </row>
    <row r="716">
      <c r="A716">
        <f>NAV!A717</f>
        <v/>
      </c>
      <c r="B716">
        <f>IFERROR(NAV!B717/NAV!B716-1,"")</f>
        <v/>
      </c>
      <c r="C716">
        <f>IFERROR(NAV!C717/NAV!C716-1,"")</f>
        <v/>
      </c>
    </row>
    <row r="717">
      <c r="A717">
        <f>NAV!A718</f>
        <v/>
      </c>
      <c r="B717">
        <f>IFERROR(NAV!B718/NAV!B717-1,"")</f>
        <v/>
      </c>
      <c r="C717">
        <f>IFERROR(NAV!C718/NAV!C717-1,"")</f>
        <v/>
      </c>
    </row>
    <row r="718">
      <c r="A718">
        <f>NAV!A719</f>
        <v/>
      </c>
      <c r="B718">
        <f>IFERROR(NAV!B719/NAV!B718-1,"")</f>
        <v/>
      </c>
      <c r="C718">
        <f>IFERROR(NAV!C719/NAV!C718-1,"")</f>
        <v/>
      </c>
    </row>
    <row r="719">
      <c r="A719">
        <f>NAV!A720</f>
        <v/>
      </c>
      <c r="B719">
        <f>IFERROR(NAV!B720/NAV!B719-1,"")</f>
        <v/>
      </c>
      <c r="C719">
        <f>IFERROR(NAV!C720/NAV!C719-1,"")</f>
        <v/>
      </c>
    </row>
    <row r="720">
      <c r="A720">
        <f>NAV!A721</f>
        <v/>
      </c>
      <c r="B720">
        <f>IFERROR(NAV!B721/NAV!B720-1,"")</f>
        <v/>
      </c>
      <c r="C720">
        <f>IFERROR(NAV!C721/NAV!C720-1,"")</f>
        <v/>
      </c>
    </row>
    <row r="721">
      <c r="A721">
        <f>NAV!A722</f>
        <v/>
      </c>
      <c r="B721">
        <f>IFERROR(NAV!B722/NAV!B721-1,"")</f>
        <v/>
      </c>
      <c r="C721">
        <f>IFERROR(NAV!C722/NAV!C721-1,"")</f>
        <v/>
      </c>
    </row>
    <row r="722">
      <c r="A722">
        <f>NAV!A723</f>
        <v/>
      </c>
      <c r="B722">
        <f>IFERROR(NAV!B723/NAV!B722-1,"")</f>
        <v/>
      </c>
      <c r="C722">
        <f>IFERROR(NAV!C723/NAV!C722-1,"")</f>
        <v/>
      </c>
    </row>
    <row r="723">
      <c r="A723">
        <f>NAV!A724</f>
        <v/>
      </c>
      <c r="B723">
        <f>IFERROR(NAV!B724/NAV!B723-1,"")</f>
        <v/>
      </c>
      <c r="C723">
        <f>IFERROR(NAV!C724/NAV!C723-1,"")</f>
        <v/>
      </c>
    </row>
    <row r="724">
      <c r="A724">
        <f>NAV!A725</f>
        <v/>
      </c>
      <c r="B724">
        <f>IFERROR(NAV!B725/NAV!B724-1,"")</f>
        <v/>
      </c>
      <c r="C724">
        <f>IFERROR(NAV!C725/NAV!C724-1,"")</f>
        <v/>
      </c>
    </row>
    <row r="725">
      <c r="A725">
        <f>NAV!A726</f>
        <v/>
      </c>
      <c r="B725">
        <f>IFERROR(NAV!B726/NAV!B725-1,"")</f>
        <v/>
      </c>
      <c r="C725">
        <f>IFERROR(NAV!C726/NAV!C725-1,"")</f>
        <v/>
      </c>
    </row>
    <row r="726">
      <c r="A726">
        <f>NAV!A727</f>
        <v/>
      </c>
      <c r="B726">
        <f>IFERROR(NAV!B727/NAV!B726-1,"")</f>
        <v/>
      </c>
      <c r="C726">
        <f>IFERROR(NAV!C727/NAV!C726-1,"")</f>
        <v/>
      </c>
    </row>
    <row r="727">
      <c r="A727">
        <f>NAV!A728</f>
        <v/>
      </c>
      <c r="B727">
        <f>IFERROR(NAV!B728/NAV!B727-1,"")</f>
        <v/>
      </c>
      <c r="C727">
        <f>IFERROR(NAV!C728/NAV!C727-1,"")</f>
        <v/>
      </c>
    </row>
    <row r="728">
      <c r="A728">
        <f>NAV!A729</f>
        <v/>
      </c>
      <c r="B728">
        <f>IFERROR(NAV!B729/NAV!B728-1,"")</f>
        <v/>
      </c>
      <c r="C728">
        <f>IFERROR(NAV!C729/NAV!C728-1,"")</f>
        <v/>
      </c>
    </row>
    <row r="729">
      <c r="A729">
        <f>NAV!A730</f>
        <v/>
      </c>
      <c r="B729">
        <f>IFERROR(NAV!B730/NAV!B729-1,"")</f>
        <v/>
      </c>
      <c r="C729">
        <f>IFERROR(NAV!C730/NAV!C729-1,"")</f>
        <v/>
      </c>
    </row>
    <row r="730">
      <c r="A730">
        <f>NAV!A731</f>
        <v/>
      </c>
      <c r="B730">
        <f>IFERROR(NAV!B731/NAV!B730-1,"")</f>
        <v/>
      </c>
      <c r="C730">
        <f>IFERROR(NAV!C731/NAV!C730-1,"")</f>
        <v/>
      </c>
    </row>
    <row r="731">
      <c r="A731">
        <f>NAV!A732</f>
        <v/>
      </c>
      <c r="B731">
        <f>IFERROR(NAV!B732/NAV!B731-1,"")</f>
        <v/>
      </c>
      <c r="C731">
        <f>IFERROR(NAV!C732/NAV!C731-1,"")</f>
        <v/>
      </c>
    </row>
    <row r="732">
      <c r="A732">
        <f>NAV!A733</f>
        <v/>
      </c>
      <c r="B732">
        <f>IFERROR(NAV!B733/NAV!B732-1,"")</f>
        <v/>
      </c>
      <c r="C732">
        <f>IFERROR(NAV!C733/NAV!C732-1,"")</f>
        <v/>
      </c>
    </row>
    <row r="733">
      <c r="A733">
        <f>NAV!A734</f>
        <v/>
      </c>
      <c r="B733">
        <f>IFERROR(NAV!B734/NAV!B733-1,"")</f>
        <v/>
      </c>
      <c r="C733">
        <f>IFERROR(NAV!C734/NAV!C733-1,"")</f>
        <v/>
      </c>
    </row>
    <row r="734">
      <c r="A734">
        <f>NAV!A735</f>
        <v/>
      </c>
      <c r="B734">
        <f>IFERROR(NAV!B735/NAV!B734-1,"")</f>
        <v/>
      </c>
      <c r="C734">
        <f>IFERROR(NAV!C735/NAV!C734-1,"")</f>
        <v/>
      </c>
    </row>
    <row r="735">
      <c r="A735">
        <f>NAV!A736</f>
        <v/>
      </c>
      <c r="B735">
        <f>IFERROR(NAV!B736/NAV!B735-1,"")</f>
        <v/>
      </c>
      <c r="C735">
        <f>IFERROR(NAV!C736/NAV!C735-1,"")</f>
        <v/>
      </c>
    </row>
    <row r="736">
      <c r="A736">
        <f>NAV!A737</f>
        <v/>
      </c>
      <c r="B736">
        <f>IFERROR(NAV!B737/NAV!B736-1,"")</f>
        <v/>
      </c>
      <c r="C736">
        <f>IFERROR(NAV!C737/NAV!C736-1,"")</f>
        <v/>
      </c>
    </row>
    <row r="737">
      <c r="A737">
        <f>NAV!A738</f>
        <v/>
      </c>
      <c r="B737">
        <f>IFERROR(NAV!B738/NAV!B737-1,"")</f>
        <v/>
      </c>
      <c r="C737">
        <f>IFERROR(NAV!C738/NAV!C737-1,"")</f>
        <v/>
      </c>
    </row>
    <row r="738">
      <c r="A738">
        <f>NAV!A739</f>
        <v/>
      </c>
      <c r="B738">
        <f>IFERROR(NAV!B739/NAV!B738-1,"")</f>
        <v/>
      </c>
      <c r="C738">
        <f>IFERROR(NAV!C739/NAV!C738-1,"")</f>
        <v/>
      </c>
    </row>
    <row r="739">
      <c r="A739">
        <f>NAV!A740</f>
        <v/>
      </c>
      <c r="B739">
        <f>IFERROR(NAV!B740/NAV!B739-1,"")</f>
        <v/>
      </c>
      <c r="C739">
        <f>IFERROR(NAV!C740/NAV!C739-1,"")</f>
        <v/>
      </c>
    </row>
    <row r="740">
      <c r="A740">
        <f>NAV!A741</f>
        <v/>
      </c>
      <c r="B740">
        <f>IFERROR(NAV!B741/NAV!B740-1,"")</f>
        <v/>
      </c>
      <c r="C740">
        <f>IFERROR(NAV!C741/NAV!C740-1,"")</f>
        <v/>
      </c>
    </row>
    <row r="741">
      <c r="A741">
        <f>NAV!A742</f>
        <v/>
      </c>
      <c r="B741">
        <f>IFERROR(NAV!B742/NAV!B741-1,"")</f>
        <v/>
      </c>
      <c r="C741">
        <f>IFERROR(NAV!C742/NAV!C741-1,"")</f>
        <v/>
      </c>
    </row>
    <row r="742">
      <c r="A742">
        <f>NAV!A743</f>
        <v/>
      </c>
      <c r="B742">
        <f>IFERROR(NAV!B743/NAV!B742-1,"")</f>
        <v/>
      </c>
      <c r="C742">
        <f>IFERROR(NAV!C743/NAV!C742-1,"")</f>
        <v/>
      </c>
    </row>
    <row r="743">
      <c r="A743">
        <f>NAV!A744</f>
        <v/>
      </c>
      <c r="B743">
        <f>IFERROR(NAV!B744/NAV!B743-1,"")</f>
        <v/>
      </c>
      <c r="C743">
        <f>IFERROR(NAV!C744/NAV!C743-1,"")</f>
        <v/>
      </c>
    </row>
    <row r="744">
      <c r="A744">
        <f>NAV!A745</f>
        <v/>
      </c>
      <c r="B744">
        <f>IFERROR(NAV!B745/NAV!B744-1,"")</f>
        <v/>
      </c>
      <c r="C744">
        <f>IFERROR(NAV!C745/NAV!C744-1,"")</f>
        <v/>
      </c>
    </row>
    <row r="745">
      <c r="A745">
        <f>NAV!A746</f>
        <v/>
      </c>
      <c r="B745">
        <f>IFERROR(NAV!B746/NAV!B745-1,"")</f>
        <v/>
      </c>
      <c r="C745">
        <f>IFERROR(NAV!C746/NAV!C745-1,"")</f>
        <v/>
      </c>
    </row>
    <row r="746">
      <c r="A746">
        <f>NAV!A747</f>
        <v/>
      </c>
      <c r="B746">
        <f>IFERROR(NAV!B747/NAV!B746-1,"")</f>
        <v/>
      </c>
      <c r="C746">
        <f>IFERROR(NAV!C747/NAV!C746-1,"")</f>
        <v/>
      </c>
    </row>
    <row r="747">
      <c r="A747">
        <f>NAV!A748</f>
        <v/>
      </c>
      <c r="B747">
        <f>IFERROR(NAV!B748/NAV!B747-1,"")</f>
        <v/>
      </c>
      <c r="C747">
        <f>IFERROR(NAV!C748/NAV!C747-1,"")</f>
        <v/>
      </c>
    </row>
    <row r="748">
      <c r="A748">
        <f>NAV!A749</f>
        <v/>
      </c>
      <c r="B748">
        <f>IFERROR(NAV!B749/NAV!B748-1,"")</f>
        <v/>
      </c>
      <c r="C748">
        <f>IFERROR(NAV!C749/NAV!C748-1,"")</f>
        <v/>
      </c>
    </row>
    <row r="749">
      <c r="A749">
        <f>NAV!A750</f>
        <v/>
      </c>
      <c r="B749">
        <f>IFERROR(NAV!B750/NAV!B749-1,"")</f>
        <v/>
      </c>
      <c r="C749">
        <f>IFERROR(NAV!C750/NAV!C749-1,"")</f>
        <v/>
      </c>
    </row>
    <row r="750">
      <c r="A750">
        <f>NAV!A751</f>
        <v/>
      </c>
      <c r="B750">
        <f>IFERROR(NAV!B751/NAV!B750-1,"")</f>
        <v/>
      </c>
      <c r="C750">
        <f>IFERROR(NAV!C751/NAV!C750-1,"")</f>
        <v/>
      </c>
    </row>
    <row r="751">
      <c r="A751">
        <f>NAV!A752</f>
        <v/>
      </c>
      <c r="B751">
        <f>IFERROR(NAV!B752/NAV!B751-1,"")</f>
        <v/>
      </c>
      <c r="C751">
        <f>IFERROR(NAV!C752/NAV!C751-1,"")</f>
        <v/>
      </c>
    </row>
    <row r="752">
      <c r="A752">
        <f>NAV!A753</f>
        <v/>
      </c>
      <c r="B752">
        <f>IFERROR(NAV!B753/NAV!B752-1,"")</f>
        <v/>
      </c>
      <c r="C752">
        <f>IFERROR(NAV!C753/NAV!C752-1,"")</f>
        <v/>
      </c>
    </row>
    <row r="753">
      <c r="A753">
        <f>NAV!A754</f>
        <v/>
      </c>
      <c r="B753">
        <f>IFERROR(NAV!B754/NAV!B753-1,"")</f>
        <v/>
      </c>
      <c r="C753">
        <f>IFERROR(NAV!C754/NAV!C753-1,"")</f>
        <v/>
      </c>
    </row>
    <row r="754">
      <c r="A754">
        <f>NAV!A755</f>
        <v/>
      </c>
      <c r="B754">
        <f>IFERROR(NAV!B755/NAV!B754-1,"")</f>
        <v/>
      </c>
      <c r="C754">
        <f>IFERROR(NAV!C755/NAV!C754-1,"")</f>
        <v/>
      </c>
    </row>
    <row r="755">
      <c r="A755">
        <f>NAV!A756</f>
        <v/>
      </c>
      <c r="B755">
        <f>IFERROR(NAV!B756/NAV!B755-1,"")</f>
        <v/>
      </c>
      <c r="C755">
        <f>IFERROR(NAV!C756/NAV!C755-1,"")</f>
        <v/>
      </c>
    </row>
    <row r="756">
      <c r="A756">
        <f>NAV!A757</f>
        <v/>
      </c>
      <c r="B756">
        <f>IFERROR(NAV!B757/NAV!B756-1,"")</f>
        <v/>
      </c>
      <c r="C756">
        <f>IFERROR(NAV!C757/NAV!C756-1,"")</f>
        <v/>
      </c>
    </row>
    <row r="757">
      <c r="A757">
        <f>NAV!A758</f>
        <v/>
      </c>
      <c r="B757">
        <f>IFERROR(NAV!B758/NAV!B757-1,"")</f>
        <v/>
      </c>
      <c r="C757">
        <f>IFERROR(NAV!C758/NAV!C757-1,"")</f>
        <v/>
      </c>
    </row>
    <row r="758">
      <c r="A758">
        <f>NAV!A759</f>
        <v/>
      </c>
      <c r="B758">
        <f>IFERROR(NAV!B759/NAV!B758-1,"")</f>
        <v/>
      </c>
      <c r="C758">
        <f>IFERROR(NAV!C759/NAV!C758-1,"")</f>
        <v/>
      </c>
    </row>
    <row r="759">
      <c r="A759">
        <f>NAV!A760</f>
        <v/>
      </c>
      <c r="B759">
        <f>IFERROR(NAV!B760/NAV!B759-1,"")</f>
        <v/>
      </c>
      <c r="C759">
        <f>IFERROR(NAV!C760/NAV!C759-1,"")</f>
        <v/>
      </c>
    </row>
    <row r="760">
      <c r="A760">
        <f>NAV!A761</f>
        <v/>
      </c>
      <c r="B760">
        <f>IFERROR(NAV!B761/NAV!B760-1,"")</f>
        <v/>
      </c>
      <c r="C760">
        <f>IFERROR(NAV!C761/NAV!C760-1,"")</f>
        <v/>
      </c>
    </row>
    <row r="761">
      <c r="A761">
        <f>NAV!A762</f>
        <v/>
      </c>
      <c r="B761">
        <f>IFERROR(NAV!B762/NAV!B761-1,"")</f>
        <v/>
      </c>
      <c r="C761">
        <f>IFERROR(NAV!C762/NAV!C761-1,"")</f>
        <v/>
      </c>
    </row>
    <row r="762">
      <c r="A762">
        <f>NAV!A763</f>
        <v/>
      </c>
      <c r="B762">
        <f>IFERROR(NAV!B763/NAV!B762-1,"")</f>
        <v/>
      </c>
      <c r="C762">
        <f>IFERROR(NAV!C763/NAV!C762-1,"")</f>
        <v/>
      </c>
    </row>
    <row r="763">
      <c r="A763">
        <f>NAV!A764</f>
        <v/>
      </c>
      <c r="B763">
        <f>IFERROR(NAV!B764/NAV!B763-1,"")</f>
        <v/>
      </c>
      <c r="C763">
        <f>IFERROR(NAV!C764/NAV!C763-1,"")</f>
        <v/>
      </c>
    </row>
    <row r="764">
      <c r="A764">
        <f>NAV!A765</f>
        <v/>
      </c>
      <c r="B764">
        <f>IFERROR(NAV!B765/NAV!B764-1,"")</f>
        <v/>
      </c>
      <c r="C764">
        <f>IFERROR(NAV!C765/NAV!C764-1,"")</f>
        <v/>
      </c>
    </row>
    <row r="765">
      <c r="A765">
        <f>NAV!A766</f>
        <v/>
      </c>
      <c r="B765">
        <f>IFERROR(NAV!B766/NAV!B765-1,"")</f>
        <v/>
      </c>
      <c r="C765">
        <f>IFERROR(NAV!C766/NAV!C765-1,"")</f>
        <v/>
      </c>
    </row>
    <row r="766">
      <c r="A766">
        <f>NAV!A767</f>
        <v/>
      </c>
      <c r="B766">
        <f>IFERROR(NAV!B767/NAV!B766-1,"")</f>
        <v/>
      </c>
      <c r="C766">
        <f>IFERROR(NAV!C767/NAV!C766-1,"")</f>
        <v/>
      </c>
    </row>
    <row r="767">
      <c r="A767">
        <f>NAV!A768</f>
        <v/>
      </c>
      <c r="B767">
        <f>IFERROR(NAV!B768/NAV!B767-1,"")</f>
        <v/>
      </c>
      <c r="C767">
        <f>IFERROR(NAV!C768/NAV!C767-1,"")</f>
        <v/>
      </c>
    </row>
    <row r="768">
      <c r="A768">
        <f>NAV!A769</f>
        <v/>
      </c>
      <c r="B768">
        <f>IFERROR(NAV!B769/NAV!B768-1,"")</f>
        <v/>
      </c>
      <c r="C768">
        <f>IFERROR(NAV!C769/NAV!C768-1,"")</f>
        <v/>
      </c>
    </row>
    <row r="769">
      <c r="A769">
        <f>NAV!A770</f>
        <v/>
      </c>
      <c r="B769">
        <f>IFERROR(NAV!B770/NAV!B769-1,"")</f>
        <v/>
      </c>
      <c r="C769">
        <f>IFERROR(NAV!C770/NAV!C769-1,"")</f>
        <v/>
      </c>
    </row>
    <row r="770">
      <c r="A770">
        <f>NAV!A771</f>
        <v/>
      </c>
      <c r="B770">
        <f>IFERROR(NAV!B771/NAV!B770-1,"")</f>
        <v/>
      </c>
      <c r="C770">
        <f>IFERROR(NAV!C771/NAV!C770-1,"")</f>
        <v/>
      </c>
    </row>
    <row r="771">
      <c r="A771">
        <f>NAV!A772</f>
        <v/>
      </c>
      <c r="B771">
        <f>IFERROR(NAV!B772/NAV!B771-1,"")</f>
        <v/>
      </c>
      <c r="C771">
        <f>IFERROR(NAV!C772/NAV!C771-1,"")</f>
        <v/>
      </c>
    </row>
    <row r="772">
      <c r="A772">
        <f>NAV!A773</f>
        <v/>
      </c>
      <c r="B772">
        <f>IFERROR(NAV!B773/NAV!B772-1,"")</f>
        <v/>
      </c>
      <c r="C772">
        <f>IFERROR(NAV!C773/NAV!C772-1,"")</f>
        <v/>
      </c>
    </row>
    <row r="773">
      <c r="A773">
        <f>NAV!A774</f>
        <v/>
      </c>
      <c r="B773">
        <f>IFERROR(NAV!B774/NAV!B773-1,"")</f>
        <v/>
      </c>
      <c r="C773">
        <f>IFERROR(NAV!C774/NAV!C773-1,"")</f>
        <v/>
      </c>
    </row>
    <row r="774">
      <c r="A774">
        <f>NAV!A775</f>
        <v/>
      </c>
      <c r="B774">
        <f>IFERROR(NAV!B775/NAV!B774-1,"")</f>
        <v/>
      </c>
      <c r="C774">
        <f>IFERROR(NAV!C775/NAV!C774-1,"")</f>
        <v/>
      </c>
    </row>
    <row r="775">
      <c r="A775">
        <f>NAV!A776</f>
        <v/>
      </c>
      <c r="B775">
        <f>IFERROR(NAV!B776/NAV!B775-1,"")</f>
        <v/>
      </c>
      <c r="C775">
        <f>IFERROR(NAV!C776/NAV!C775-1,"")</f>
        <v/>
      </c>
    </row>
    <row r="776">
      <c r="A776">
        <f>NAV!A777</f>
        <v/>
      </c>
      <c r="B776">
        <f>IFERROR(NAV!B777/NAV!B776-1,"")</f>
        <v/>
      </c>
      <c r="C776">
        <f>IFERROR(NAV!C777/NAV!C776-1,"")</f>
        <v/>
      </c>
    </row>
    <row r="777">
      <c r="A777">
        <f>NAV!A778</f>
        <v/>
      </c>
      <c r="B777">
        <f>IFERROR(NAV!B778/NAV!B777-1,"")</f>
        <v/>
      </c>
      <c r="C777">
        <f>IFERROR(NAV!C778/NAV!C777-1,"")</f>
        <v/>
      </c>
    </row>
    <row r="778">
      <c r="A778">
        <f>NAV!A779</f>
        <v/>
      </c>
      <c r="B778">
        <f>IFERROR(NAV!B779/NAV!B778-1,"")</f>
        <v/>
      </c>
      <c r="C778">
        <f>IFERROR(NAV!C779/NAV!C778-1,"")</f>
        <v/>
      </c>
    </row>
    <row r="779">
      <c r="A779">
        <f>NAV!A780</f>
        <v/>
      </c>
      <c r="B779">
        <f>IFERROR(NAV!B780/NAV!B779-1,"")</f>
        <v/>
      </c>
      <c r="C779">
        <f>IFERROR(NAV!C780/NAV!C779-1,"")</f>
        <v/>
      </c>
    </row>
    <row r="780">
      <c r="A780">
        <f>NAV!A781</f>
        <v/>
      </c>
      <c r="B780">
        <f>IFERROR(NAV!B781/NAV!B780-1,"")</f>
        <v/>
      </c>
      <c r="C780">
        <f>IFERROR(NAV!C781/NAV!C780-1,"")</f>
        <v/>
      </c>
    </row>
    <row r="781">
      <c r="A781">
        <f>NAV!A782</f>
        <v/>
      </c>
      <c r="B781">
        <f>IFERROR(NAV!B782/NAV!B781-1,"")</f>
        <v/>
      </c>
      <c r="C781">
        <f>IFERROR(NAV!C782/NAV!C781-1,"")</f>
        <v/>
      </c>
    </row>
    <row r="782">
      <c r="A782">
        <f>NAV!A783</f>
        <v/>
      </c>
      <c r="B782">
        <f>IFERROR(NAV!B783/NAV!B782-1,"")</f>
        <v/>
      </c>
      <c r="C782">
        <f>IFERROR(NAV!C783/NAV!C782-1,"")</f>
        <v/>
      </c>
    </row>
    <row r="783">
      <c r="A783">
        <f>NAV!A784</f>
        <v/>
      </c>
      <c r="B783">
        <f>IFERROR(NAV!B784/NAV!B783-1,"")</f>
        <v/>
      </c>
      <c r="C783">
        <f>IFERROR(NAV!C784/NAV!C783-1,"")</f>
        <v/>
      </c>
    </row>
    <row r="784">
      <c r="A784">
        <f>NAV!A785</f>
        <v/>
      </c>
      <c r="B784">
        <f>IFERROR(NAV!B785/NAV!B784-1,"")</f>
        <v/>
      </c>
      <c r="C784">
        <f>IFERROR(NAV!C785/NAV!C784-1,"")</f>
        <v/>
      </c>
    </row>
    <row r="785">
      <c r="A785">
        <f>NAV!A786</f>
        <v/>
      </c>
      <c r="B785">
        <f>IFERROR(NAV!B786/NAV!B785-1,"")</f>
        <v/>
      </c>
      <c r="C785">
        <f>IFERROR(NAV!C786/NAV!C785-1,"")</f>
        <v/>
      </c>
    </row>
    <row r="786">
      <c r="A786">
        <f>NAV!A787</f>
        <v/>
      </c>
      <c r="B786">
        <f>IFERROR(NAV!B787/NAV!B786-1,"")</f>
        <v/>
      </c>
      <c r="C786">
        <f>IFERROR(NAV!C787/NAV!C786-1,"")</f>
        <v/>
      </c>
    </row>
    <row r="787">
      <c r="A787">
        <f>NAV!A788</f>
        <v/>
      </c>
      <c r="B787">
        <f>IFERROR(NAV!B788/NAV!B787-1,"")</f>
        <v/>
      </c>
      <c r="C787">
        <f>IFERROR(NAV!C788/NAV!C787-1,"")</f>
        <v/>
      </c>
    </row>
    <row r="788">
      <c r="A788">
        <f>NAV!A789</f>
        <v/>
      </c>
      <c r="B788">
        <f>IFERROR(NAV!B789/NAV!B788-1,"")</f>
        <v/>
      </c>
      <c r="C788">
        <f>IFERROR(NAV!C789/NAV!C788-1,"")</f>
        <v/>
      </c>
    </row>
    <row r="789">
      <c r="A789">
        <f>NAV!A790</f>
        <v/>
      </c>
      <c r="B789">
        <f>IFERROR(NAV!B790/NAV!B789-1,"")</f>
        <v/>
      </c>
      <c r="C789">
        <f>IFERROR(NAV!C790/NAV!C789-1,"")</f>
        <v/>
      </c>
    </row>
    <row r="790">
      <c r="A790">
        <f>NAV!A791</f>
        <v/>
      </c>
      <c r="B790">
        <f>IFERROR(NAV!B791/NAV!B790-1,"")</f>
        <v/>
      </c>
      <c r="C790">
        <f>IFERROR(NAV!C791/NAV!C790-1,"")</f>
        <v/>
      </c>
    </row>
    <row r="791">
      <c r="A791">
        <f>NAV!A792</f>
        <v/>
      </c>
      <c r="B791">
        <f>IFERROR(NAV!B792/NAV!B791-1,"")</f>
        <v/>
      </c>
      <c r="C791">
        <f>IFERROR(NAV!C792/NAV!C791-1,"")</f>
        <v/>
      </c>
    </row>
    <row r="792">
      <c r="A792">
        <f>NAV!A793</f>
        <v/>
      </c>
      <c r="B792">
        <f>IFERROR(NAV!B793/NAV!B792-1,"")</f>
        <v/>
      </c>
      <c r="C792">
        <f>IFERROR(NAV!C793/NAV!C792-1,"")</f>
        <v/>
      </c>
    </row>
    <row r="793">
      <c r="A793">
        <f>NAV!A794</f>
        <v/>
      </c>
      <c r="B793">
        <f>IFERROR(NAV!B794/NAV!B793-1,"")</f>
        <v/>
      </c>
      <c r="C793">
        <f>IFERROR(NAV!C794/NAV!C793-1,"")</f>
        <v/>
      </c>
    </row>
    <row r="794">
      <c r="A794">
        <f>NAV!A795</f>
        <v/>
      </c>
      <c r="B794">
        <f>IFERROR(NAV!B795/NAV!B794-1,"")</f>
        <v/>
      </c>
      <c r="C794">
        <f>IFERROR(NAV!C795/NAV!C794-1,"")</f>
        <v/>
      </c>
    </row>
    <row r="795">
      <c r="A795">
        <f>NAV!A796</f>
        <v/>
      </c>
      <c r="B795">
        <f>IFERROR(NAV!B796/NAV!B795-1,"")</f>
        <v/>
      </c>
      <c r="C795">
        <f>IFERROR(NAV!C796/NAV!C795-1,"")</f>
        <v/>
      </c>
    </row>
    <row r="796">
      <c r="A796">
        <f>NAV!A797</f>
        <v/>
      </c>
      <c r="B796">
        <f>IFERROR(NAV!B797/NAV!B796-1,"")</f>
        <v/>
      </c>
      <c r="C796">
        <f>IFERROR(NAV!C797/NAV!C796-1,"")</f>
        <v/>
      </c>
    </row>
    <row r="797">
      <c r="A797">
        <f>NAV!A798</f>
        <v/>
      </c>
      <c r="B797">
        <f>IFERROR(NAV!B798/NAV!B797-1,"")</f>
        <v/>
      </c>
      <c r="C797">
        <f>IFERROR(NAV!C798/NAV!C797-1,"")</f>
        <v/>
      </c>
    </row>
    <row r="798">
      <c r="A798">
        <f>NAV!A799</f>
        <v/>
      </c>
      <c r="B798">
        <f>IFERROR(NAV!B799/NAV!B798-1,"")</f>
        <v/>
      </c>
      <c r="C798">
        <f>IFERROR(NAV!C799/NAV!C798-1,"")</f>
        <v/>
      </c>
    </row>
    <row r="799">
      <c r="A799">
        <f>NAV!A800</f>
        <v/>
      </c>
      <c r="B799">
        <f>IFERROR(NAV!B800/NAV!B799-1,"")</f>
        <v/>
      </c>
      <c r="C799">
        <f>IFERROR(NAV!C800/NAV!C799-1,"")</f>
        <v/>
      </c>
    </row>
    <row r="800">
      <c r="A800">
        <f>NAV!A801</f>
        <v/>
      </c>
      <c r="B800">
        <f>IFERROR(NAV!B801/NAV!B800-1,"")</f>
        <v/>
      </c>
      <c r="C800">
        <f>IFERROR(NAV!C801/NAV!C800-1,"")</f>
        <v/>
      </c>
    </row>
    <row r="801">
      <c r="A801">
        <f>NAV!A802</f>
        <v/>
      </c>
      <c r="B801">
        <f>IFERROR(NAV!B802/NAV!B801-1,"")</f>
        <v/>
      </c>
      <c r="C801">
        <f>IFERROR(NAV!C802/NAV!C801-1,"")</f>
        <v/>
      </c>
    </row>
    <row r="802">
      <c r="A802">
        <f>NAV!A803</f>
        <v/>
      </c>
      <c r="B802">
        <f>IFERROR(NAV!B803/NAV!B802-1,"")</f>
        <v/>
      </c>
      <c r="C802">
        <f>IFERROR(NAV!C803/NAV!C802-1,"")</f>
        <v/>
      </c>
    </row>
    <row r="803">
      <c r="A803">
        <f>NAV!A804</f>
        <v/>
      </c>
      <c r="B803">
        <f>IFERROR(NAV!B804/NAV!B803-1,"")</f>
        <v/>
      </c>
      <c r="C803">
        <f>IFERROR(NAV!C804/NAV!C803-1,"")</f>
        <v/>
      </c>
    </row>
    <row r="804">
      <c r="A804">
        <f>NAV!A805</f>
        <v/>
      </c>
      <c r="B804">
        <f>IFERROR(NAV!B805/NAV!B804-1,"")</f>
        <v/>
      </c>
      <c r="C804">
        <f>IFERROR(NAV!C805/NAV!C804-1,"")</f>
        <v/>
      </c>
    </row>
    <row r="805">
      <c r="A805">
        <f>NAV!A806</f>
        <v/>
      </c>
      <c r="B805">
        <f>IFERROR(NAV!B806/NAV!B805-1,"")</f>
        <v/>
      </c>
      <c r="C805">
        <f>IFERROR(NAV!C806/NAV!C805-1,"")</f>
        <v/>
      </c>
    </row>
    <row r="806">
      <c r="A806">
        <f>NAV!A807</f>
        <v/>
      </c>
      <c r="B806">
        <f>IFERROR(NAV!B807/NAV!B806-1,"")</f>
        <v/>
      </c>
      <c r="C806">
        <f>IFERROR(NAV!C807/NAV!C806-1,"")</f>
        <v/>
      </c>
    </row>
    <row r="807">
      <c r="A807">
        <f>NAV!A808</f>
        <v/>
      </c>
      <c r="B807">
        <f>IFERROR(NAV!B808/NAV!B807-1,"")</f>
        <v/>
      </c>
      <c r="C807">
        <f>IFERROR(NAV!C808/NAV!C807-1,"")</f>
        <v/>
      </c>
    </row>
    <row r="808">
      <c r="A808">
        <f>NAV!A809</f>
        <v/>
      </c>
      <c r="B808">
        <f>IFERROR(NAV!B809/NAV!B808-1,"")</f>
        <v/>
      </c>
      <c r="C808">
        <f>IFERROR(NAV!C809/NAV!C808-1,"")</f>
        <v/>
      </c>
    </row>
    <row r="809">
      <c r="A809">
        <f>NAV!A810</f>
        <v/>
      </c>
      <c r="B809">
        <f>IFERROR(NAV!B810/NAV!B809-1,"")</f>
        <v/>
      </c>
      <c r="C809">
        <f>IFERROR(NAV!C810/NAV!C809-1,"")</f>
        <v/>
      </c>
    </row>
    <row r="810">
      <c r="A810">
        <f>NAV!A811</f>
        <v/>
      </c>
      <c r="B810">
        <f>IFERROR(NAV!B811/NAV!B810-1,"")</f>
        <v/>
      </c>
      <c r="C810">
        <f>IFERROR(NAV!C811/NAV!C810-1,"")</f>
        <v/>
      </c>
    </row>
    <row r="811">
      <c r="A811">
        <f>NAV!A812</f>
        <v/>
      </c>
      <c r="B811">
        <f>IFERROR(NAV!B812/NAV!B811-1,"")</f>
        <v/>
      </c>
      <c r="C811">
        <f>IFERROR(NAV!C812/NAV!C811-1,"")</f>
        <v/>
      </c>
    </row>
    <row r="812">
      <c r="A812">
        <f>NAV!A813</f>
        <v/>
      </c>
      <c r="B812">
        <f>IFERROR(NAV!B813/NAV!B812-1,"")</f>
        <v/>
      </c>
      <c r="C812">
        <f>IFERROR(NAV!C813/NAV!C812-1,"")</f>
        <v/>
      </c>
    </row>
    <row r="813">
      <c r="A813">
        <f>NAV!A814</f>
        <v/>
      </c>
      <c r="B813">
        <f>IFERROR(NAV!B814/NAV!B813-1,"")</f>
        <v/>
      </c>
      <c r="C813">
        <f>IFERROR(NAV!C814/NAV!C813-1,"")</f>
        <v/>
      </c>
    </row>
    <row r="814">
      <c r="A814">
        <f>NAV!A815</f>
        <v/>
      </c>
      <c r="B814">
        <f>IFERROR(NAV!B815/NAV!B814-1,"")</f>
        <v/>
      </c>
      <c r="C814">
        <f>IFERROR(NAV!C815/NAV!C814-1,"")</f>
        <v/>
      </c>
    </row>
    <row r="815">
      <c r="A815">
        <f>NAV!A816</f>
        <v/>
      </c>
      <c r="B815">
        <f>IFERROR(NAV!B816/NAV!B815-1,"")</f>
        <v/>
      </c>
      <c r="C815">
        <f>IFERROR(NAV!C816/NAV!C815-1,"")</f>
        <v/>
      </c>
    </row>
    <row r="816">
      <c r="A816">
        <f>NAV!A817</f>
        <v/>
      </c>
      <c r="B816">
        <f>IFERROR(NAV!B817/NAV!B816-1,"")</f>
        <v/>
      </c>
      <c r="C816">
        <f>IFERROR(NAV!C817/NAV!C816-1,"")</f>
        <v/>
      </c>
    </row>
    <row r="817">
      <c r="A817">
        <f>NAV!A818</f>
        <v/>
      </c>
      <c r="B817">
        <f>IFERROR(NAV!B818/NAV!B817-1,"")</f>
        <v/>
      </c>
      <c r="C817">
        <f>IFERROR(NAV!C818/NAV!C817-1,"")</f>
        <v/>
      </c>
    </row>
    <row r="818">
      <c r="A818">
        <f>NAV!A819</f>
        <v/>
      </c>
      <c r="B818">
        <f>IFERROR(NAV!B819/NAV!B818-1,"")</f>
        <v/>
      </c>
      <c r="C818">
        <f>IFERROR(NAV!C819/NAV!C818-1,"")</f>
        <v/>
      </c>
    </row>
    <row r="819">
      <c r="A819">
        <f>NAV!A820</f>
        <v/>
      </c>
      <c r="B819">
        <f>IFERROR(NAV!B820/NAV!B819-1,"")</f>
        <v/>
      </c>
      <c r="C819">
        <f>IFERROR(NAV!C820/NAV!C819-1,"")</f>
        <v/>
      </c>
    </row>
    <row r="820">
      <c r="A820">
        <f>NAV!A821</f>
        <v/>
      </c>
      <c r="B820">
        <f>IFERROR(NAV!B821/NAV!B820-1,"")</f>
        <v/>
      </c>
      <c r="C820">
        <f>IFERROR(NAV!C821/NAV!C820-1,"")</f>
        <v/>
      </c>
    </row>
    <row r="821">
      <c r="A821">
        <f>NAV!A822</f>
        <v/>
      </c>
      <c r="B821">
        <f>IFERROR(NAV!B822/NAV!B821-1,"")</f>
        <v/>
      </c>
      <c r="C821">
        <f>IFERROR(NAV!C822/NAV!C821-1,"")</f>
        <v/>
      </c>
    </row>
    <row r="822">
      <c r="A822">
        <f>NAV!A823</f>
        <v/>
      </c>
      <c r="B822">
        <f>IFERROR(NAV!B823/NAV!B822-1,"")</f>
        <v/>
      </c>
      <c r="C822">
        <f>IFERROR(NAV!C823/NAV!C822-1,"")</f>
        <v/>
      </c>
    </row>
    <row r="823">
      <c r="A823">
        <f>NAV!A824</f>
        <v/>
      </c>
      <c r="B823">
        <f>IFERROR(NAV!B824/NAV!B823-1,"")</f>
        <v/>
      </c>
      <c r="C823">
        <f>IFERROR(NAV!C824/NAV!C823-1,"")</f>
        <v/>
      </c>
    </row>
    <row r="824">
      <c r="A824">
        <f>NAV!A825</f>
        <v/>
      </c>
      <c r="B824">
        <f>IFERROR(NAV!B825/NAV!B824-1,"")</f>
        <v/>
      </c>
      <c r="C824">
        <f>IFERROR(NAV!C825/NAV!C824-1,"")</f>
        <v/>
      </c>
    </row>
    <row r="825">
      <c r="A825">
        <f>NAV!A826</f>
        <v/>
      </c>
      <c r="B825">
        <f>IFERROR(NAV!B826/NAV!B825-1,"")</f>
        <v/>
      </c>
      <c r="C825">
        <f>IFERROR(NAV!C826/NAV!C825-1,"")</f>
        <v/>
      </c>
    </row>
    <row r="826">
      <c r="A826">
        <f>NAV!A827</f>
        <v/>
      </c>
      <c r="B826">
        <f>IFERROR(NAV!B827/NAV!B826-1,"")</f>
        <v/>
      </c>
      <c r="C826">
        <f>IFERROR(NAV!C827/NAV!C826-1,"")</f>
        <v/>
      </c>
    </row>
    <row r="827">
      <c r="A827">
        <f>NAV!A828</f>
        <v/>
      </c>
      <c r="B827">
        <f>IFERROR(NAV!B828/NAV!B827-1,"")</f>
        <v/>
      </c>
      <c r="C827">
        <f>IFERROR(NAV!C828/NAV!C827-1,"")</f>
        <v/>
      </c>
    </row>
    <row r="828">
      <c r="A828">
        <f>NAV!A829</f>
        <v/>
      </c>
      <c r="B828">
        <f>IFERROR(NAV!B829/NAV!B828-1,"")</f>
        <v/>
      </c>
      <c r="C828">
        <f>IFERROR(NAV!C829/NAV!C828-1,"")</f>
        <v/>
      </c>
    </row>
    <row r="829">
      <c r="A829">
        <f>NAV!A830</f>
        <v/>
      </c>
      <c r="B829">
        <f>IFERROR(NAV!B830/NAV!B829-1,"")</f>
        <v/>
      </c>
      <c r="C829">
        <f>IFERROR(NAV!C830/NAV!C829-1,"")</f>
        <v/>
      </c>
    </row>
    <row r="830">
      <c r="A830">
        <f>NAV!A831</f>
        <v/>
      </c>
      <c r="B830">
        <f>IFERROR(NAV!B831/NAV!B830-1,"")</f>
        <v/>
      </c>
      <c r="C830">
        <f>IFERROR(NAV!C831/NAV!C830-1,"")</f>
        <v/>
      </c>
    </row>
    <row r="831">
      <c r="A831">
        <f>NAV!A832</f>
        <v/>
      </c>
      <c r="B831">
        <f>IFERROR(NAV!B832/NAV!B831-1,"")</f>
        <v/>
      </c>
      <c r="C831">
        <f>IFERROR(NAV!C832/NAV!C831-1,"")</f>
        <v/>
      </c>
    </row>
    <row r="832">
      <c r="A832">
        <f>NAV!A833</f>
        <v/>
      </c>
      <c r="B832">
        <f>IFERROR(NAV!B833/NAV!B832-1,"")</f>
        <v/>
      </c>
      <c r="C832">
        <f>IFERROR(NAV!C833/NAV!C832-1,"")</f>
        <v/>
      </c>
    </row>
    <row r="833">
      <c r="A833">
        <f>NAV!A834</f>
        <v/>
      </c>
      <c r="B833">
        <f>IFERROR(NAV!B834/NAV!B833-1,"")</f>
        <v/>
      </c>
      <c r="C833">
        <f>IFERROR(NAV!C834/NAV!C833-1,"")</f>
        <v/>
      </c>
    </row>
    <row r="834">
      <c r="A834">
        <f>NAV!A835</f>
        <v/>
      </c>
      <c r="B834">
        <f>IFERROR(NAV!B835/NAV!B834-1,"")</f>
        <v/>
      </c>
      <c r="C834">
        <f>IFERROR(NAV!C835/NAV!C834-1,"")</f>
        <v/>
      </c>
    </row>
    <row r="835">
      <c r="A835">
        <f>NAV!A836</f>
        <v/>
      </c>
      <c r="B835">
        <f>IFERROR(NAV!B836/NAV!B835-1,"")</f>
        <v/>
      </c>
      <c r="C835">
        <f>IFERROR(NAV!C836/NAV!C835-1,"")</f>
        <v/>
      </c>
    </row>
    <row r="836">
      <c r="A836">
        <f>NAV!A837</f>
        <v/>
      </c>
      <c r="B836">
        <f>IFERROR(NAV!B837/NAV!B836-1,"")</f>
        <v/>
      </c>
      <c r="C836">
        <f>IFERROR(NAV!C837/NAV!C836-1,"")</f>
        <v/>
      </c>
    </row>
    <row r="837">
      <c r="A837">
        <f>NAV!A838</f>
        <v/>
      </c>
      <c r="B837">
        <f>IFERROR(NAV!B838/NAV!B837-1,"")</f>
        <v/>
      </c>
      <c r="C837">
        <f>IFERROR(NAV!C838/NAV!C837-1,"")</f>
        <v/>
      </c>
    </row>
    <row r="838">
      <c r="A838">
        <f>NAV!A839</f>
        <v/>
      </c>
      <c r="B838">
        <f>IFERROR(NAV!B839/NAV!B838-1,"")</f>
        <v/>
      </c>
      <c r="C838">
        <f>IFERROR(NAV!C839/NAV!C838-1,"")</f>
        <v/>
      </c>
    </row>
    <row r="839">
      <c r="A839">
        <f>NAV!A840</f>
        <v/>
      </c>
      <c r="B839">
        <f>IFERROR(NAV!B840/NAV!B839-1,"")</f>
        <v/>
      </c>
      <c r="C839">
        <f>IFERROR(NAV!C840/NAV!C839-1,"")</f>
        <v/>
      </c>
    </row>
    <row r="840">
      <c r="A840">
        <f>NAV!A841</f>
        <v/>
      </c>
      <c r="B840">
        <f>IFERROR(NAV!B841/NAV!B840-1,"")</f>
        <v/>
      </c>
      <c r="C840">
        <f>IFERROR(NAV!C841/NAV!C840-1,"")</f>
        <v/>
      </c>
    </row>
    <row r="841">
      <c r="A841">
        <f>NAV!A842</f>
        <v/>
      </c>
      <c r="B841">
        <f>IFERROR(NAV!B842/NAV!B841-1,"")</f>
        <v/>
      </c>
      <c r="C841">
        <f>IFERROR(NAV!C842/NAV!C841-1,"")</f>
        <v/>
      </c>
    </row>
    <row r="842">
      <c r="A842">
        <f>NAV!A843</f>
        <v/>
      </c>
      <c r="B842">
        <f>IFERROR(NAV!B843/NAV!B842-1,"")</f>
        <v/>
      </c>
      <c r="C842">
        <f>IFERROR(NAV!C843/NAV!C842-1,"")</f>
        <v/>
      </c>
    </row>
    <row r="843">
      <c r="A843">
        <f>NAV!A844</f>
        <v/>
      </c>
      <c r="B843">
        <f>IFERROR(NAV!B844/NAV!B843-1,"")</f>
        <v/>
      </c>
      <c r="C843">
        <f>IFERROR(NAV!C844/NAV!C843-1,"")</f>
        <v/>
      </c>
    </row>
    <row r="844">
      <c r="A844">
        <f>NAV!A845</f>
        <v/>
      </c>
      <c r="B844">
        <f>IFERROR(NAV!B845/NAV!B844-1,"")</f>
        <v/>
      </c>
      <c r="C844">
        <f>IFERROR(NAV!C845/NAV!C844-1,"")</f>
        <v/>
      </c>
    </row>
    <row r="845">
      <c r="A845">
        <f>NAV!A846</f>
        <v/>
      </c>
      <c r="B845">
        <f>IFERROR(NAV!B846/NAV!B845-1,"")</f>
        <v/>
      </c>
      <c r="C845">
        <f>IFERROR(NAV!C846/NAV!C845-1,"")</f>
        <v/>
      </c>
    </row>
    <row r="846">
      <c r="A846">
        <f>NAV!A847</f>
        <v/>
      </c>
      <c r="B846">
        <f>IFERROR(NAV!B847/NAV!B846-1,"")</f>
        <v/>
      </c>
      <c r="C846">
        <f>IFERROR(NAV!C847/NAV!C846-1,"")</f>
        <v/>
      </c>
    </row>
    <row r="847">
      <c r="A847">
        <f>NAV!A848</f>
        <v/>
      </c>
      <c r="B847">
        <f>IFERROR(NAV!B848/NAV!B847-1,"")</f>
        <v/>
      </c>
      <c r="C847">
        <f>IFERROR(NAV!C848/NAV!C847-1,"")</f>
        <v/>
      </c>
    </row>
    <row r="848">
      <c r="A848">
        <f>NAV!A849</f>
        <v/>
      </c>
      <c r="B848">
        <f>IFERROR(NAV!B849/NAV!B848-1,"")</f>
        <v/>
      </c>
      <c r="C848">
        <f>IFERROR(NAV!C849/NAV!C848-1,"")</f>
        <v/>
      </c>
    </row>
    <row r="849">
      <c r="A849">
        <f>NAV!A850</f>
        <v/>
      </c>
      <c r="B849">
        <f>IFERROR(NAV!B850/NAV!B849-1,"")</f>
        <v/>
      </c>
      <c r="C849">
        <f>IFERROR(NAV!C850/NAV!C849-1,"")</f>
        <v/>
      </c>
    </row>
    <row r="850">
      <c r="A850">
        <f>NAV!A851</f>
        <v/>
      </c>
      <c r="B850">
        <f>IFERROR(NAV!B851/NAV!B850-1,"")</f>
        <v/>
      </c>
      <c r="C850">
        <f>IFERROR(NAV!C851/NAV!C850-1,"")</f>
        <v/>
      </c>
    </row>
    <row r="851">
      <c r="A851">
        <f>NAV!A852</f>
        <v/>
      </c>
      <c r="B851">
        <f>IFERROR(NAV!B852/NAV!B851-1,"")</f>
        <v/>
      </c>
      <c r="C851">
        <f>IFERROR(NAV!C852/NAV!C851-1,"")</f>
        <v/>
      </c>
    </row>
    <row r="852">
      <c r="A852">
        <f>NAV!A853</f>
        <v/>
      </c>
      <c r="B852">
        <f>IFERROR(NAV!B853/NAV!B852-1,"")</f>
        <v/>
      </c>
      <c r="C852">
        <f>IFERROR(NAV!C853/NAV!C852-1,"")</f>
        <v/>
      </c>
    </row>
    <row r="853">
      <c r="A853">
        <f>NAV!A854</f>
        <v/>
      </c>
      <c r="B853">
        <f>IFERROR(NAV!B854/NAV!B853-1,"")</f>
        <v/>
      </c>
      <c r="C853">
        <f>IFERROR(NAV!C854/NAV!C853-1,"")</f>
        <v/>
      </c>
    </row>
    <row r="854">
      <c r="A854">
        <f>NAV!A855</f>
        <v/>
      </c>
      <c r="B854">
        <f>IFERROR(NAV!B855/NAV!B854-1,"")</f>
        <v/>
      </c>
      <c r="C854">
        <f>IFERROR(NAV!C855/NAV!C854-1,"")</f>
        <v/>
      </c>
    </row>
    <row r="855">
      <c r="A855">
        <f>NAV!A856</f>
        <v/>
      </c>
      <c r="B855">
        <f>IFERROR(NAV!B856/NAV!B855-1,"")</f>
        <v/>
      </c>
      <c r="C855">
        <f>IFERROR(NAV!C856/NAV!C855-1,"")</f>
        <v/>
      </c>
    </row>
    <row r="856">
      <c r="A856">
        <f>NAV!A857</f>
        <v/>
      </c>
      <c r="B856">
        <f>IFERROR(NAV!B857/NAV!B856-1,"")</f>
        <v/>
      </c>
      <c r="C856">
        <f>IFERROR(NAV!C857/NAV!C856-1,"")</f>
        <v/>
      </c>
    </row>
    <row r="857">
      <c r="A857">
        <f>NAV!A858</f>
        <v/>
      </c>
      <c r="B857">
        <f>IFERROR(NAV!B858/NAV!B857-1,"")</f>
        <v/>
      </c>
      <c r="C857">
        <f>IFERROR(NAV!C858/NAV!C857-1,"")</f>
        <v/>
      </c>
    </row>
    <row r="858">
      <c r="A858">
        <f>NAV!A859</f>
        <v/>
      </c>
      <c r="B858">
        <f>IFERROR(NAV!B859/NAV!B858-1,"")</f>
        <v/>
      </c>
      <c r="C858">
        <f>IFERROR(NAV!C859/NAV!C858-1,"")</f>
        <v/>
      </c>
    </row>
    <row r="859">
      <c r="A859">
        <f>NAV!A860</f>
        <v/>
      </c>
      <c r="B859">
        <f>IFERROR(NAV!B860/NAV!B859-1,"")</f>
        <v/>
      </c>
      <c r="C859">
        <f>IFERROR(NAV!C860/NAV!C859-1,"")</f>
        <v/>
      </c>
    </row>
    <row r="860">
      <c r="A860">
        <f>NAV!A861</f>
        <v/>
      </c>
      <c r="B860">
        <f>IFERROR(NAV!B861/NAV!B860-1,"")</f>
        <v/>
      </c>
      <c r="C860">
        <f>IFERROR(NAV!C861/NAV!C860-1,"")</f>
        <v/>
      </c>
    </row>
    <row r="861">
      <c r="A861">
        <f>NAV!A862</f>
        <v/>
      </c>
      <c r="B861">
        <f>IFERROR(NAV!B862/NAV!B861-1,"")</f>
        <v/>
      </c>
      <c r="C861">
        <f>IFERROR(NAV!C862/NAV!C861-1,"")</f>
        <v/>
      </c>
    </row>
    <row r="862">
      <c r="A862">
        <f>NAV!A863</f>
        <v/>
      </c>
      <c r="B862">
        <f>IFERROR(NAV!B863/NAV!B862-1,"")</f>
        <v/>
      </c>
      <c r="C862">
        <f>IFERROR(NAV!C863/NAV!C862-1,"")</f>
        <v/>
      </c>
    </row>
    <row r="863">
      <c r="A863">
        <f>NAV!A864</f>
        <v/>
      </c>
      <c r="B863">
        <f>IFERROR(NAV!B864/NAV!B863-1,"")</f>
        <v/>
      </c>
      <c r="C863">
        <f>IFERROR(NAV!C864/NAV!C863-1,"")</f>
        <v/>
      </c>
    </row>
    <row r="864">
      <c r="A864">
        <f>NAV!A865</f>
        <v/>
      </c>
      <c r="B864">
        <f>IFERROR(NAV!B865/NAV!B864-1,"")</f>
        <v/>
      </c>
      <c r="C864">
        <f>IFERROR(NAV!C865/NAV!C864-1,"")</f>
        <v/>
      </c>
    </row>
    <row r="865">
      <c r="A865">
        <f>NAV!A866</f>
        <v/>
      </c>
      <c r="B865">
        <f>IFERROR(NAV!B866/NAV!B865-1,"")</f>
        <v/>
      </c>
      <c r="C865">
        <f>IFERROR(NAV!C866/NAV!C865-1,"")</f>
        <v/>
      </c>
    </row>
    <row r="866">
      <c r="A866">
        <f>NAV!A867</f>
        <v/>
      </c>
      <c r="B866">
        <f>IFERROR(NAV!B867/NAV!B866-1,"")</f>
        <v/>
      </c>
      <c r="C866">
        <f>IFERROR(NAV!C867/NAV!C866-1,"")</f>
        <v/>
      </c>
    </row>
    <row r="867">
      <c r="A867">
        <f>NAV!A868</f>
        <v/>
      </c>
      <c r="B867">
        <f>IFERROR(NAV!B868/NAV!B867-1,"")</f>
        <v/>
      </c>
      <c r="C867">
        <f>IFERROR(NAV!C868/NAV!C867-1,"")</f>
        <v/>
      </c>
    </row>
    <row r="868">
      <c r="A868">
        <f>NAV!A869</f>
        <v/>
      </c>
      <c r="B868">
        <f>IFERROR(NAV!B869/NAV!B868-1,"")</f>
        <v/>
      </c>
      <c r="C868">
        <f>IFERROR(NAV!C869/NAV!C868-1,"")</f>
        <v/>
      </c>
    </row>
    <row r="869">
      <c r="A869">
        <f>NAV!A870</f>
        <v/>
      </c>
      <c r="B869">
        <f>IFERROR(NAV!B870/NAV!B869-1,"")</f>
        <v/>
      </c>
      <c r="C869">
        <f>IFERROR(NAV!C870/NAV!C869-1,"")</f>
        <v/>
      </c>
    </row>
    <row r="870">
      <c r="A870">
        <f>NAV!A871</f>
        <v/>
      </c>
      <c r="B870">
        <f>IFERROR(NAV!B871/NAV!B870-1,"")</f>
        <v/>
      </c>
      <c r="C870">
        <f>IFERROR(NAV!C871/NAV!C870-1,"")</f>
        <v/>
      </c>
    </row>
    <row r="871">
      <c r="A871">
        <f>NAV!A872</f>
        <v/>
      </c>
      <c r="B871">
        <f>IFERROR(NAV!B872/NAV!B871-1,"")</f>
        <v/>
      </c>
      <c r="C871">
        <f>IFERROR(NAV!C872/NAV!C871-1,"")</f>
        <v/>
      </c>
    </row>
    <row r="872">
      <c r="A872">
        <f>NAV!A873</f>
        <v/>
      </c>
      <c r="B872">
        <f>IFERROR(NAV!B873/NAV!B872-1,"")</f>
        <v/>
      </c>
      <c r="C872">
        <f>IFERROR(NAV!C873/NAV!C872-1,"")</f>
        <v/>
      </c>
    </row>
    <row r="873">
      <c r="A873">
        <f>NAV!A874</f>
        <v/>
      </c>
      <c r="B873">
        <f>IFERROR(NAV!B874/NAV!B873-1,"")</f>
        <v/>
      </c>
      <c r="C873">
        <f>IFERROR(NAV!C874/NAV!C873-1,"")</f>
        <v/>
      </c>
    </row>
    <row r="874">
      <c r="A874">
        <f>NAV!A875</f>
        <v/>
      </c>
      <c r="B874">
        <f>IFERROR(NAV!B875/NAV!B874-1,"")</f>
        <v/>
      </c>
      <c r="C874">
        <f>IFERROR(NAV!C875/NAV!C874-1,"")</f>
        <v/>
      </c>
    </row>
    <row r="875">
      <c r="A875">
        <f>NAV!A876</f>
        <v/>
      </c>
      <c r="B875">
        <f>IFERROR(NAV!B876/NAV!B875-1,"")</f>
        <v/>
      </c>
      <c r="C875">
        <f>IFERROR(NAV!C876/NAV!C875-1,"")</f>
        <v/>
      </c>
    </row>
    <row r="876">
      <c r="A876">
        <f>NAV!A877</f>
        <v/>
      </c>
      <c r="B876">
        <f>IFERROR(NAV!B877/NAV!B876-1,"")</f>
        <v/>
      </c>
      <c r="C876">
        <f>IFERROR(NAV!C877/NAV!C876-1,"")</f>
        <v/>
      </c>
    </row>
    <row r="877">
      <c r="A877">
        <f>NAV!A878</f>
        <v/>
      </c>
      <c r="B877">
        <f>IFERROR(NAV!B878/NAV!B877-1,"")</f>
        <v/>
      </c>
      <c r="C877">
        <f>IFERROR(NAV!C878/NAV!C877-1,"")</f>
        <v/>
      </c>
    </row>
    <row r="878">
      <c r="A878">
        <f>NAV!A879</f>
        <v/>
      </c>
      <c r="B878">
        <f>IFERROR(NAV!B879/NAV!B878-1,"")</f>
        <v/>
      </c>
      <c r="C878">
        <f>IFERROR(NAV!C879/NAV!C878-1,"")</f>
        <v/>
      </c>
    </row>
    <row r="879">
      <c r="A879">
        <f>NAV!A880</f>
        <v/>
      </c>
      <c r="B879">
        <f>IFERROR(NAV!B880/NAV!B879-1,"")</f>
        <v/>
      </c>
      <c r="C879">
        <f>IFERROR(NAV!C880/NAV!C879-1,"")</f>
        <v/>
      </c>
    </row>
    <row r="880">
      <c r="A880">
        <f>NAV!A881</f>
        <v/>
      </c>
      <c r="B880">
        <f>IFERROR(NAV!B881/NAV!B880-1,"")</f>
        <v/>
      </c>
      <c r="C880">
        <f>IFERROR(NAV!C881/NAV!C880-1,"")</f>
        <v/>
      </c>
    </row>
    <row r="881">
      <c r="A881">
        <f>NAV!A882</f>
        <v/>
      </c>
      <c r="B881">
        <f>IFERROR(NAV!B882/NAV!B881-1,"")</f>
        <v/>
      </c>
      <c r="C881">
        <f>IFERROR(NAV!C882/NAV!C881-1,"")</f>
        <v/>
      </c>
    </row>
    <row r="882">
      <c r="A882">
        <f>NAV!A883</f>
        <v/>
      </c>
      <c r="B882">
        <f>IFERROR(NAV!B883/NAV!B882-1,"")</f>
        <v/>
      </c>
      <c r="C882">
        <f>IFERROR(NAV!C883/NAV!C882-1,"")</f>
        <v/>
      </c>
    </row>
    <row r="883">
      <c r="A883">
        <f>NAV!A884</f>
        <v/>
      </c>
      <c r="B883">
        <f>IFERROR(NAV!B884/NAV!B883-1,"")</f>
        <v/>
      </c>
      <c r="C883">
        <f>IFERROR(NAV!C884/NAV!C883-1,"")</f>
        <v/>
      </c>
    </row>
    <row r="884">
      <c r="A884">
        <f>NAV!A885</f>
        <v/>
      </c>
      <c r="B884">
        <f>IFERROR(NAV!B885/NAV!B884-1,"")</f>
        <v/>
      </c>
      <c r="C884">
        <f>IFERROR(NAV!C885/NAV!C884-1,"")</f>
        <v/>
      </c>
    </row>
    <row r="885">
      <c r="A885">
        <f>NAV!A886</f>
        <v/>
      </c>
      <c r="B885">
        <f>IFERROR(NAV!B886/NAV!B885-1,"")</f>
        <v/>
      </c>
      <c r="C885">
        <f>IFERROR(NAV!C886/NAV!C885-1,"")</f>
        <v/>
      </c>
    </row>
    <row r="886">
      <c r="A886">
        <f>NAV!A887</f>
        <v/>
      </c>
      <c r="B886">
        <f>IFERROR(NAV!B887/NAV!B886-1,"")</f>
        <v/>
      </c>
      <c r="C886">
        <f>IFERROR(NAV!C887/NAV!C886-1,"")</f>
        <v/>
      </c>
    </row>
    <row r="887">
      <c r="A887">
        <f>NAV!A888</f>
        <v/>
      </c>
      <c r="B887">
        <f>IFERROR(NAV!B888/NAV!B887-1,"")</f>
        <v/>
      </c>
      <c r="C887">
        <f>IFERROR(NAV!C888/NAV!C887-1,"")</f>
        <v/>
      </c>
    </row>
    <row r="888">
      <c r="A888">
        <f>NAV!A889</f>
        <v/>
      </c>
      <c r="B888">
        <f>IFERROR(NAV!B889/NAV!B888-1,"")</f>
        <v/>
      </c>
      <c r="C888">
        <f>IFERROR(NAV!C889/NAV!C888-1,"")</f>
        <v/>
      </c>
    </row>
    <row r="889">
      <c r="A889">
        <f>NAV!A890</f>
        <v/>
      </c>
      <c r="B889">
        <f>IFERROR(NAV!B890/NAV!B889-1,"")</f>
        <v/>
      </c>
      <c r="C889">
        <f>IFERROR(NAV!C890/NAV!C889-1,"")</f>
        <v/>
      </c>
    </row>
    <row r="890">
      <c r="A890">
        <f>NAV!A891</f>
        <v/>
      </c>
      <c r="B890">
        <f>IFERROR(NAV!B891/NAV!B890-1,"")</f>
        <v/>
      </c>
      <c r="C890">
        <f>IFERROR(NAV!C891/NAV!C890-1,"")</f>
        <v/>
      </c>
    </row>
    <row r="891">
      <c r="A891">
        <f>NAV!A892</f>
        <v/>
      </c>
      <c r="B891">
        <f>IFERROR(NAV!B892/NAV!B891-1,"")</f>
        <v/>
      </c>
      <c r="C891">
        <f>IFERROR(NAV!C892/NAV!C891-1,"")</f>
        <v/>
      </c>
    </row>
    <row r="892">
      <c r="A892">
        <f>NAV!A893</f>
        <v/>
      </c>
      <c r="B892">
        <f>IFERROR(NAV!B893/NAV!B892-1,"")</f>
        <v/>
      </c>
      <c r="C892">
        <f>IFERROR(NAV!C893/NAV!C892-1,"")</f>
        <v/>
      </c>
    </row>
    <row r="893">
      <c r="A893">
        <f>NAV!A894</f>
        <v/>
      </c>
      <c r="B893">
        <f>IFERROR(NAV!B894/NAV!B893-1,"")</f>
        <v/>
      </c>
      <c r="C893">
        <f>IFERROR(NAV!C894/NAV!C893-1,"")</f>
        <v/>
      </c>
    </row>
    <row r="894">
      <c r="A894">
        <f>NAV!A895</f>
        <v/>
      </c>
      <c r="B894">
        <f>IFERROR(NAV!B895/NAV!B894-1,"")</f>
        <v/>
      </c>
      <c r="C894">
        <f>IFERROR(NAV!C895/NAV!C894-1,"")</f>
        <v/>
      </c>
    </row>
    <row r="895">
      <c r="A895">
        <f>NAV!A896</f>
        <v/>
      </c>
      <c r="B895">
        <f>IFERROR(NAV!B896/NAV!B895-1,"")</f>
        <v/>
      </c>
      <c r="C895">
        <f>IFERROR(NAV!C896/NAV!C895-1,"")</f>
        <v/>
      </c>
    </row>
    <row r="896">
      <c r="A896">
        <f>NAV!A897</f>
        <v/>
      </c>
      <c r="B896">
        <f>IFERROR(NAV!B897/NAV!B896-1,"")</f>
        <v/>
      </c>
      <c r="C896">
        <f>IFERROR(NAV!C897/NAV!C896-1,"")</f>
        <v/>
      </c>
    </row>
    <row r="897">
      <c r="A897">
        <f>NAV!A898</f>
        <v/>
      </c>
      <c r="B897">
        <f>IFERROR(NAV!B898/NAV!B897-1,"")</f>
        <v/>
      </c>
      <c r="C897">
        <f>IFERROR(NAV!C898/NAV!C897-1,"")</f>
        <v/>
      </c>
    </row>
    <row r="898">
      <c r="A898">
        <f>NAV!A899</f>
        <v/>
      </c>
      <c r="B898">
        <f>IFERROR(NAV!B899/NAV!B898-1,"")</f>
        <v/>
      </c>
      <c r="C898">
        <f>IFERROR(NAV!C899/NAV!C898-1,"")</f>
        <v/>
      </c>
    </row>
    <row r="899">
      <c r="A899">
        <f>NAV!A900</f>
        <v/>
      </c>
      <c r="B899">
        <f>IFERROR(NAV!B900/NAV!B899-1,"")</f>
        <v/>
      </c>
      <c r="C899">
        <f>IFERROR(NAV!C900/NAV!C899-1,"")</f>
        <v/>
      </c>
    </row>
    <row r="900">
      <c r="A900">
        <f>NAV!A901</f>
        <v/>
      </c>
      <c r="B900">
        <f>IFERROR(NAV!B901/NAV!B900-1,"")</f>
        <v/>
      </c>
      <c r="C900">
        <f>IFERROR(NAV!C901/NAV!C900-1,"")</f>
        <v/>
      </c>
    </row>
    <row r="901">
      <c r="A901">
        <f>NAV!A902</f>
        <v/>
      </c>
      <c r="B901">
        <f>IFERROR(NAV!B902/NAV!B901-1,"")</f>
        <v/>
      </c>
      <c r="C901">
        <f>IFERROR(NAV!C902/NAV!C901-1,"")</f>
        <v/>
      </c>
    </row>
    <row r="902">
      <c r="A902">
        <f>NAV!A903</f>
        <v/>
      </c>
      <c r="B902">
        <f>IFERROR(NAV!B903/NAV!B902-1,"")</f>
        <v/>
      </c>
      <c r="C902">
        <f>IFERROR(NAV!C903/NAV!C902-1,"")</f>
        <v/>
      </c>
    </row>
    <row r="903">
      <c r="A903">
        <f>NAV!A904</f>
        <v/>
      </c>
      <c r="B903">
        <f>IFERROR(NAV!B904/NAV!B903-1,"")</f>
        <v/>
      </c>
      <c r="C903">
        <f>IFERROR(NAV!C904/NAV!C903-1,"")</f>
        <v/>
      </c>
    </row>
    <row r="904">
      <c r="A904">
        <f>NAV!A905</f>
        <v/>
      </c>
      <c r="B904">
        <f>IFERROR(NAV!B905/NAV!B904-1,"")</f>
        <v/>
      </c>
      <c r="C904">
        <f>IFERROR(NAV!C905/NAV!C904-1,"")</f>
        <v/>
      </c>
    </row>
    <row r="905">
      <c r="A905">
        <f>NAV!A906</f>
        <v/>
      </c>
      <c r="B905">
        <f>IFERROR(NAV!B906/NAV!B905-1,"")</f>
        <v/>
      </c>
      <c r="C905">
        <f>IFERROR(NAV!C906/NAV!C905-1,"")</f>
        <v/>
      </c>
    </row>
    <row r="906">
      <c r="A906">
        <f>NAV!A907</f>
        <v/>
      </c>
      <c r="B906">
        <f>IFERROR(NAV!B907/NAV!B906-1,"")</f>
        <v/>
      </c>
      <c r="C906">
        <f>IFERROR(NAV!C907/NAV!C906-1,"")</f>
        <v/>
      </c>
    </row>
    <row r="907">
      <c r="A907">
        <f>NAV!A908</f>
        <v/>
      </c>
      <c r="B907">
        <f>IFERROR(NAV!B908/NAV!B907-1,"")</f>
        <v/>
      </c>
      <c r="C907">
        <f>IFERROR(NAV!C908/NAV!C907-1,"")</f>
        <v/>
      </c>
    </row>
    <row r="908">
      <c r="A908">
        <f>NAV!A909</f>
        <v/>
      </c>
      <c r="B908">
        <f>IFERROR(NAV!B909/NAV!B908-1,"")</f>
        <v/>
      </c>
      <c r="C908">
        <f>IFERROR(NAV!C909/NAV!C908-1,"")</f>
        <v/>
      </c>
    </row>
    <row r="909">
      <c r="A909">
        <f>NAV!A910</f>
        <v/>
      </c>
      <c r="B909">
        <f>IFERROR(NAV!B910/NAV!B909-1,"")</f>
        <v/>
      </c>
      <c r="C909">
        <f>IFERROR(NAV!C910/NAV!C909-1,"")</f>
        <v/>
      </c>
    </row>
    <row r="910">
      <c r="A910">
        <f>NAV!A911</f>
        <v/>
      </c>
      <c r="B910">
        <f>IFERROR(NAV!B911/NAV!B910-1,"")</f>
        <v/>
      </c>
      <c r="C910">
        <f>IFERROR(NAV!C911/NAV!C910-1,"")</f>
        <v/>
      </c>
    </row>
    <row r="911">
      <c r="A911">
        <f>NAV!A912</f>
        <v/>
      </c>
      <c r="B911">
        <f>IFERROR(NAV!B912/NAV!B911-1,"")</f>
        <v/>
      </c>
      <c r="C911">
        <f>IFERROR(NAV!C912/NAV!C911-1,"")</f>
        <v/>
      </c>
    </row>
    <row r="912">
      <c r="A912">
        <f>NAV!A913</f>
        <v/>
      </c>
      <c r="B912">
        <f>IFERROR(NAV!B913/NAV!B912-1,"")</f>
        <v/>
      </c>
      <c r="C912">
        <f>IFERROR(NAV!C913/NAV!C912-1,"")</f>
        <v/>
      </c>
    </row>
    <row r="913">
      <c r="A913">
        <f>NAV!A914</f>
        <v/>
      </c>
      <c r="B913">
        <f>IFERROR(NAV!B914/NAV!B913-1,"")</f>
        <v/>
      </c>
      <c r="C913">
        <f>IFERROR(NAV!C914/NAV!C913-1,"")</f>
        <v/>
      </c>
    </row>
    <row r="914">
      <c r="A914">
        <f>NAV!A915</f>
        <v/>
      </c>
      <c r="B914">
        <f>IFERROR(NAV!B915/NAV!B914-1,"")</f>
        <v/>
      </c>
      <c r="C914">
        <f>IFERROR(NAV!C915/NAV!C914-1,"")</f>
        <v/>
      </c>
    </row>
    <row r="915">
      <c r="A915">
        <f>NAV!A916</f>
        <v/>
      </c>
      <c r="B915">
        <f>IFERROR(NAV!B916/NAV!B915-1,"")</f>
        <v/>
      </c>
      <c r="C915">
        <f>IFERROR(NAV!C916/NAV!C915-1,"")</f>
        <v/>
      </c>
    </row>
    <row r="916">
      <c r="A916">
        <f>NAV!A917</f>
        <v/>
      </c>
      <c r="B916">
        <f>IFERROR(NAV!B917/NAV!B916-1,"")</f>
        <v/>
      </c>
      <c r="C916">
        <f>IFERROR(NAV!C917/NAV!C916-1,"")</f>
        <v/>
      </c>
    </row>
    <row r="917">
      <c r="A917">
        <f>NAV!A918</f>
        <v/>
      </c>
      <c r="B917">
        <f>IFERROR(NAV!B918/NAV!B917-1,"")</f>
        <v/>
      </c>
      <c r="C917">
        <f>IFERROR(NAV!C918/NAV!C917-1,"")</f>
        <v/>
      </c>
    </row>
    <row r="918">
      <c r="A918">
        <f>NAV!A919</f>
        <v/>
      </c>
      <c r="B918">
        <f>IFERROR(NAV!B919/NAV!B918-1,"")</f>
        <v/>
      </c>
      <c r="C918">
        <f>IFERROR(NAV!C919/NAV!C918-1,"")</f>
        <v/>
      </c>
    </row>
    <row r="919">
      <c r="A919">
        <f>NAV!A920</f>
        <v/>
      </c>
      <c r="B919">
        <f>IFERROR(NAV!B920/NAV!B919-1,"")</f>
        <v/>
      </c>
      <c r="C919">
        <f>IFERROR(NAV!C920/NAV!C919-1,"")</f>
        <v/>
      </c>
    </row>
    <row r="920">
      <c r="A920">
        <f>NAV!A921</f>
        <v/>
      </c>
      <c r="B920">
        <f>IFERROR(NAV!B921/NAV!B920-1,"")</f>
        <v/>
      </c>
      <c r="C920">
        <f>IFERROR(NAV!C921/NAV!C920-1,"")</f>
        <v/>
      </c>
    </row>
    <row r="921">
      <c r="A921">
        <f>NAV!A922</f>
        <v/>
      </c>
      <c r="B921">
        <f>IFERROR(NAV!B922/NAV!B921-1,"")</f>
        <v/>
      </c>
      <c r="C921">
        <f>IFERROR(NAV!C922/NAV!C921-1,"")</f>
        <v/>
      </c>
    </row>
    <row r="922">
      <c r="A922">
        <f>NAV!A923</f>
        <v/>
      </c>
      <c r="B922">
        <f>IFERROR(NAV!B923/NAV!B922-1,"")</f>
        <v/>
      </c>
      <c r="C922">
        <f>IFERROR(NAV!C923/NAV!C922-1,"")</f>
        <v/>
      </c>
    </row>
    <row r="923">
      <c r="A923">
        <f>NAV!A924</f>
        <v/>
      </c>
      <c r="B923">
        <f>IFERROR(NAV!B924/NAV!B923-1,"")</f>
        <v/>
      </c>
      <c r="C923">
        <f>IFERROR(NAV!C924/NAV!C923-1,"")</f>
        <v/>
      </c>
    </row>
    <row r="924">
      <c r="A924">
        <f>NAV!A925</f>
        <v/>
      </c>
      <c r="B924">
        <f>IFERROR(NAV!B925/NAV!B924-1,"")</f>
        <v/>
      </c>
      <c r="C924">
        <f>IFERROR(NAV!C925/NAV!C924-1,"")</f>
        <v/>
      </c>
    </row>
    <row r="925">
      <c r="A925">
        <f>NAV!A926</f>
        <v/>
      </c>
      <c r="B925">
        <f>IFERROR(NAV!B926/NAV!B925-1,"")</f>
        <v/>
      </c>
      <c r="C925">
        <f>IFERROR(NAV!C926/NAV!C925-1,"")</f>
        <v/>
      </c>
    </row>
    <row r="926">
      <c r="A926">
        <f>NAV!A927</f>
        <v/>
      </c>
      <c r="B926">
        <f>IFERROR(NAV!B927/NAV!B926-1,"")</f>
        <v/>
      </c>
      <c r="C926">
        <f>IFERROR(NAV!C927/NAV!C926-1,"")</f>
        <v/>
      </c>
    </row>
    <row r="927">
      <c r="A927">
        <f>NAV!A928</f>
        <v/>
      </c>
      <c r="B927">
        <f>IFERROR(NAV!B928/NAV!B927-1,"")</f>
        <v/>
      </c>
      <c r="C927">
        <f>IFERROR(NAV!C928/NAV!C927-1,"")</f>
        <v/>
      </c>
    </row>
    <row r="928">
      <c r="A928">
        <f>NAV!A929</f>
        <v/>
      </c>
      <c r="B928">
        <f>IFERROR(NAV!B929/NAV!B928-1,"")</f>
        <v/>
      </c>
      <c r="C928">
        <f>IFERROR(NAV!C929/NAV!C928-1,"")</f>
        <v/>
      </c>
    </row>
    <row r="929">
      <c r="A929">
        <f>NAV!A930</f>
        <v/>
      </c>
      <c r="B929">
        <f>IFERROR(NAV!B930/NAV!B929-1,"")</f>
        <v/>
      </c>
      <c r="C929">
        <f>IFERROR(NAV!C930/NAV!C929-1,"")</f>
        <v/>
      </c>
    </row>
    <row r="930">
      <c r="A930">
        <f>NAV!A931</f>
        <v/>
      </c>
      <c r="B930">
        <f>IFERROR(NAV!B931/NAV!B930-1,"")</f>
        <v/>
      </c>
      <c r="C930">
        <f>IFERROR(NAV!C931/NAV!C930-1,"")</f>
        <v/>
      </c>
    </row>
    <row r="931">
      <c r="A931">
        <f>NAV!A932</f>
        <v/>
      </c>
      <c r="B931">
        <f>IFERROR(NAV!B932/NAV!B931-1,"")</f>
        <v/>
      </c>
      <c r="C931">
        <f>IFERROR(NAV!C932/NAV!C931-1,"")</f>
        <v/>
      </c>
    </row>
    <row r="932">
      <c r="A932">
        <f>NAV!A933</f>
        <v/>
      </c>
      <c r="B932">
        <f>IFERROR(NAV!B933/NAV!B932-1,"")</f>
        <v/>
      </c>
      <c r="C932">
        <f>IFERROR(NAV!C933/NAV!C932-1,"")</f>
        <v/>
      </c>
    </row>
    <row r="933">
      <c r="A933">
        <f>NAV!A934</f>
        <v/>
      </c>
      <c r="B933">
        <f>IFERROR(NAV!B934/NAV!B933-1,"")</f>
        <v/>
      </c>
      <c r="C933">
        <f>IFERROR(NAV!C934/NAV!C933-1,"")</f>
        <v/>
      </c>
    </row>
    <row r="934">
      <c r="A934">
        <f>NAV!A935</f>
        <v/>
      </c>
      <c r="B934">
        <f>IFERROR(NAV!B935/NAV!B934-1,"")</f>
        <v/>
      </c>
      <c r="C934">
        <f>IFERROR(NAV!C935/NAV!C934-1,"")</f>
        <v/>
      </c>
    </row>
    <row r="935">
      <c r="A935">
        <f>NAV!A936</f>
        <v/>
      </c>
      <c r="B935">
        <f>IFERROR(NAV!B936/NAV!B935-1,"")</f>
        <v/>
      </c>
      <c r="C935">
        <f>IFERROR(NAV!C936/NAV!C935-1,"")</f>
        <v/>
      </c>
    </row>
    <row r="936">
      <c r="A936">
        <f>NAV!A937</f>
        <v/>
      </c>
      <c r="B936">
        <f>IFERROR(NAV!B937/NAV!B936-1,"")</f>
        <v/>
      </c>
      <c r="C936">
        <f>IFERROR(NAV!C937/NAV!C936-1,"")</f>
        <v/>
      </c>
    </row>
    <row r="937">
      <c r="A937">
        <f>NAV!A938</f>
        <v/>
      </c>
      <c r="B937">
        <f>IFERROR(NAV!B938/NAV!B937-1,"")</f>
        <v/>
      </c>
      <c r="C937">
        <f>IFERROR(NAV!C938/NAV!C937-1,"")</f>
        <v/>
      </c>
    </row>
    <row r="938">
      <c r="A938">
        <f>NAV!A939</f>
        <v/>
      </c>
      <c r="B938">
        <f>IFERROR(NAV!B939/NAV!B938-1,"")</f>
        <v/>
      </c>
      <c r="C938">
        <f>IFERROR(NAV!C939/NAV!C938-1,"")</f>
        <v/>
      </c>
    </row>
    <row r="939">
      <c r="A939">
        <f>NAV!A940</f>
        <v/>
      </c>
      <c r="B939">
        <f>IFERROR(NAV!B940/NAV!B939-1,"")</f>
        <v/>
      </c>
      <c r="C939">
        <f>IFERROR(NAV!C940/NAV!C939-1,"")</f>
        <v/>
      </c>
    </row>
    <row r="940">
      <c r="A940">
        <f>NAV!A941</f>
        <v/>
      </c>
      <c r="B940">
        <f>IFERROR(NAV!B941/NAV!B940-1,"")</f>
        <v/>
      </c>
      <c r="C940">
        <f>IFERROR(NAV!C941/NAV!C940-1,"")</f>
        <v/>
      </c>
    </row>
    <row r="941">
      <c r="A941">
        <f>NAV!A942</f>
        <v/>
      </c>
      <c r="B941">
        <f>IFERROR(NAV!B942/NAV!B941-1,"")</f>
        <v/>
      </c>
      <c r="C941">
        <f>IFERROR(NAV!C942/NAV!C941-1,"")</f>
        <v/>
      </c>
    </row>
    <row r="942">
      <c r="A942">
        <f>NAV!A943</f>
        <v/>
      </c>
      <c r="B942">
        <f>IFERROR(NAV!B943/NAV!B942-1,"")</f>
        <v/>
      </c>
      <c r="C942">
        <f>IFERROR(NAV!C943/NAV!C942-1,"")</f>
        <v/>
      </c>
    </row>
    <row r="943">
      <c r="A943">
        <f>NAV!A944</f>
        <v/>
      </c>
      <c r="B943">
        <f>IFERROR(NAV!B944/NAV!B943-1,"")</f>
        <v/>
      </c>
      <c r="C943">
        <f>IFERROR(NAV!C944/NAV!C943-1,"")</f>
        <v/>
      </c>
    </row>
    <row r="944">
      <c r="A944">
        <f>NAV!A945</f>
        <v/>
      </c>
      <c r="B944">
        <f>IFERROR(NAV!B945/NAV!B944-1,"")</f>
        <v/>
      </c>
      <c r="C944">
        <f>IFERROR(NAV!C945/NAV!C944-1,"")</f>
        <v/>
      </c>
    </row>
    <row r="945">
      <c r="A945">
        <f>NAV!A946</f>
        <v/>
      </c>
      <c r="B945">
        <f>IFERROR(NAV!B946/NAV!B945-1,"")</f>
        <v/>
      </c>
      <c r="C945">
        <f>IFERROR(NAV!C946/NAV!C945-1,"")</f>
        <v/>
      </c>
    </row>
    <row r="946">
      <c r="A946">
        <f>NAV!A947</f>
        <v/>
      </c>
      <c r="B946">
        <f>IFERROR(NAV!B947/NAV!B946-1,"")</f>
        <v/>
      </c>
      <c r="C946">
        <f>IFERROR(NAV!C947/NAV!C946-1,"")</f>
        <v/>
      </c>
    </row>
    <row r="947">
      <c r="A947">
        <f>NAV!A948</f>
        <v/>
      </c>
      <c r="B947">
        <f>IFERROR(NAV!B948/NAV!B947-1,"")</f>
        <v/>
      </c>
      <c r="C947">
        <f>IFERROR(NAV!C948/NAV!C947-1,"")</f>
        <v/>
      </c>
    </row>
    <row r="948">
      <c r="A948">
        <f>NAV!A949</f>
        <v/>
      </c>
      <c r="B948">
        <f>IFERROR(NAV!B949/NAV!B948-1,"")</f>
        <v/>
      </c>
      <c r="C948">
        <f>IFERROR(NAV!C949/NAV!C948-1,"")</f>
        <v/>
      </c>
    </row>
    <row r="949">
      <c r="A949">
        <f>NAV!A950</f>
        <v/>
      </c>
      <c r="B949">
        <f>IFERROR(NAV!B950/NAV!B949-1,"")</f>
        <v/>
      </c>
      <c r="C949">
        <f>IFERROR(NAV!C950/NAV!C949-1,"")</f>
        <v/>
      </c>
    </row>
    <row r="950">
      <c r="A950">
        <f>NAV!A951</f>
        <v/>
      </c>
      <c r="B950">
        <f>IFERROR(NAV!B951/NAV!B950-1,"")</f>
        <v/>
      </c>
      <c r="C950">
        <f>IFERROR(NAV!C951/NAV!C950-1,"")</f>
        <v/>
      </c>
    </row>
    <row r="951">
      <c r="A951">
        <f>NAV!A952</f>
        <v/>
      </c>
      <c r="B951">
        <f>IFERROR(NAV!B952/NAV!B951-1,"")</f>
        <v/>
      </c>
      <c r="C951">
        <f>IFERROR(NAV!C952/NAV!C951-1,"")</f>
        <v/>
      </c>
    </row>
    <row r="952">
      <c r="A952">
        <f>NAV!A953</f>
        <v/>
      </c>
      <c r="B952">
        <f>IFERROR(NAV!B953/NAV!B952-1,"")</f>
        <v/>
      </c>
      <c r="C952">
        <f>IFERROR(NAV!C953/NAV!C952-1,"")</f>
        <v/>
      </c>
    </row>
    <row r="953">
      <c r="A953">
        <f>NAV!A954</f>
        <v/>
      </c>
      <c r="B953">
        <f>IFERROR(NAV!B954/NAV!B953-1,"")</f>
        <v/>
      </c>
      <c r="C953">
        <f>IFERROR(NAV!C954/NAV!C953-1,"")</f>
        <v/>
      </c>
    </row>
    <row r="954">
      <c r="A954">
        <f>NAV!A955</f>
        <v/>
      </c>
      <c r="B954">
        <f>IFERROR(NAV!B955/NAV!B954-1,"")</f>
        <v/>
      </c>
      <c r="C954">
        <f>IFERROR(NAV!C955/NAV!C954-1,"")</f>
        <v/>
      </c>
    </row>
    <row r="955">
      <c r="A955">
        <f>NAV!A956</f>
        <v/>
      </c>
      <c r="B955">
        <f>IFERROR(NAV!B956/NAV!B955-1,"")</f>
        <v/>
      </c>
      <c r="C955">
        <f>IFERROR(NAV!C956/NAV!C955-1,"")</f>
        <v/>
      </c>
    </row>
    <row r="956">
      <c r="A956">
        <f>NAV!A957</f>
        <v/>
      </c>
      <c r="B956">
        <f>IFERROR(NAV!B957/NAV!B956-1,"")</f>
        <v/>
      </c>
      <c r="C956">
        <f>IFERROR(NAV!C957/NAV!C956-1,"")</f>
        <v/>
      </c>
    </row>
    <row r="957">
      <c r="A957">
        <f>NAV!A958</f>
        <v/>
      </c>
      <c r="B957">
        <f>IFERROR(NAV!B958/NAV!B957-1,"")</f>
        <v/>
      </c>
      <c r="C957">
        <f>IFERROR(NAV!C958/NAV!C957-1,"")</f>
        <v/>
      </c>
    </row>
    <row r="958">
      <c r="A958">
        <f>NAV!A959</f>
        <v/>
      </c>
      <c r="B958">
        <f>IFERROR(NAV!B959/NAV!B958-1,"")</f>
        <v/>
      </c>
      <c r="C958">
        <f>IFERROR(NAV!C959/NAV!C958-1,"")</f>
        <v/>
      </c>
    </row>
    <row r="959">
      <c r="A959">
        <f>NAV!A960</f>
        <v/>
      </c>
      <c r="B959">
        <f>IFERROR(NAV!B960/NAV!B959-1,"")</f>
        <v/>
      </c>
      <c r="C959">
        <f>IFERROR(NAV!C960/NAV!C959-1,"")</f>
        <v/>
      </c>
    </row>
    <row r="960">
      <c r="A960">
        <f>NAV!A961</f>
        <v/>
      </c>
      <c r="B960">
        <f>IFERROR(NAV!B961/NAV!B960-1,"")</f>
        <v/>
      </c>
      <c r="C960">
        <f>IFERROR(NAV!C961/NAV!C960-1,"")</f>
        <v/>
      </c>
    </row>
    <row r="961">
      <c r="A961">
        <f>NAV!A962</f>
        <v/>
      </c>
      <c r="B961">
        <f>IFERROR(NAV!B962/NAV!B961-1,"")</f>
        <v/>
      </c>
      <c r="C961">
        <f>IFERROR(NAV!C962/NAV!C961-1,"")</f>
        <v/>
      </c>
    </row>
    <row r="962">
      <c r="A962">
        <f>NAV!A963</f>
        <v/>
      </c>
      <c r="B962">
        <f>IFERROR(NAV!B963/NAV!B962-1,"")</f>
        <v/>
      </c>
      <c r="C962">
        <f>IFERROR(NAV!C963/NAV!C962-1,"")</f>
        <v/>
      </c>
    </row>
    <row r="963">
      <c r="A963">
        <f>NAV!A964</f>
        <v/>
      </c>
      <c r="B963">
        <f>IFERROR(NAV!B964/NAV!B963-1,"")</f>
        <v/>
      </c>
      <c r="C963">
        <f>IFERROR(NAV!C964/NAV!C963-1,"")</f>
        <v/>
      </c>
    </row>
    <row r="964">
      <c r="A964">
        <f>NAV!A965</f>
        <v/>
      </c>
      <c r="B964">
        <f>IFERROR(NAV!B965/NAV!B964-1,"")</f>
        <v/>
      </c>
      <c r="C964">
        <f>IFERROR(NAV!C965/NAV!C964-1,"")</f>
        <v/>
      </c>
    </row>
    <row r="965">
      <c r="A965">
        <f>NAV!A966</f>
        <v/>
      </c>
      <c r="B965">
        <f>IFERROR(NAV!B966/NAV!B965-1,"")</f>
        <v/>
      </c>
      <c r="C965">
        <f>IFERROR(NAV!C966/NAV!C965-1,"")</f>
        <v/>
      </c>
    </row>
    <row r="966">
      <c r="A966">
        <f>NAV!A967</f>
        <v/>
      </c>
      <c r="B966">
        <f>IFERROR(NAV!B967/NAV!B966-1,"")</f>
        <v/>
      </c>
      <c r="C966">
        <f>IFERROR(NAV!C967/NAV!C966-1,"")</f>
        <v/>
      </c>
    </row>
    <row r="967">
      <c r="A967">
        <f>NAV!A968</f>
        <v/>
      </c>
      <c r="B967">
        <f>IFERROR(NAV!B968/NAV!B967-1,"")</f>
        <v/>
      </c>
      <c r="C967">
        <f>IFERROR(NAV!C968/NAV!C967-1,"")</f>
        <v/>
      </c>
    </row>
    <row r="968">
      <c r="A968">
        <f>NAV!A969</f>
        <v/>
      </c>
      <c r="B968">
        <f>IFERROR(NAV!B969/NAV!B968-1,"")</f>
        <v/>
      </c>
      <c r="C968">
        <f>IFERROR(NAV!C969/NAV!C968-1,"")</f>
        <v/>
      </c>
    </row>
    <row r="969">
      <c r="A969">
        <f>NAV!A970</f>
        <v/>
      </c>
      <c r="B969">
        <f>IFERROR(NAV!B970/NAV!B969-1,"")</f>
        <v/>
      </c>
      <c r="C969">
        <f>IFERROR(NAV!C970/NAV!C969-1,"")</f>
        <v/>
      </c>
    </row>
    <row r="970">
      <c r="A970">
        <f>NAV!A971</f>
        <v/>
      </c>
      <c r="B970">
        <f>IFERROR(NAV!B971/NAV!B970-1,"")</f>
        <v/>
      </c>
      <c r="C970">
        <f>IFERROR(NAV!C971/NAV!C970-1,"")</f>
        <v/>
      </c>
    </row>
    <row r="971">
      <c r="A971">
        <f>NAV!A972</f>
        <v/>
      </c>
      <c r="B971">
        <f>IFERROR(NAV!B972/NAV!B971-1,"")</f>
        <v/>
      </c>
      <c r="C971">
        <f>IFERROR(NAV!C972/NAV!C971-1,"")</f>
        <v/>
      </c>
    </row>
    <row r="972">
      <c r="A972">
        <f>NAV!A973</f>
        <v/>
      </c>
      <c r="B972">
        <f>IFERROR(NAV!B973/NAV!B972-1,"")</f>
        <v/>
      </c>
      <c r="C972">
        <f>IFERROR(NAV!C973/NAV!C972-1,"")</f>
        <v/>
      </c>
    </row>
    <row r="973">
      <c r="A973">
        <f>NAV!A974</f>
        <v/>
      </c>
      <c r="B973">
        <f>IFERROR(NAV!B974/NAV!B973-1,"")</f>
        <v/>
      </c>
      <c r="C973">
        <f>IFERROR(NAV!C974/NAV!C973-1,"")</f>
        <v/>
      </c>
    </row>
    <row r="974">
      <c r="A974">
        <f>NAV!A975</f>
        <v/>
      </c>
      <c r="B974">
        <f>IFERROR(NAV!B975/NAV!B974-1,"")</f>
        <v/>
      </c>
      <c r="C974">
        <f>IFERROR(NAV!C975/NAV!C974-1,"")</f>
        <v/>
      </c>
    </row>
    <row r="975">
      <c r="A975">
        <f>NAV!A976</f>
        <v/>
      </c>
      <c r="B975">
        <f>IFERROR(NAV!B976/NAV!B975-1,"")</f>
        <v/>
      </c>
      <c r="C975">
        <f>IFERROR(NAV!C976/NAV!C975-1,"")</f>
        <v/>
      </c>
    </row>
    <row r="976">
      <c r="A976">
        <f>NAV!A977</f>
        <v/>
      </c>
      <c r="B976">
        <f>IFERROR(NAV!B977/NAV!B976-1,"")</f>
        <v/>
      </c>
      <c r="C976">
        <f>IFERROR(NAV!C977/NAV!C976-1,"")</f>
        <v/>
      </c>
    </row>
    <row r="977">
      <c r="A977">
        <f>NAV!A978</f>
        <v/>
      </c>
      <c r="B977">
        <f>IFERROR(NAV!B978/NAV!B977-1,"")</f>
        <v/>
      </c>
      <c r="C977">
        <f>IFERROR(NAV!C978/NAV!C977-1,"")</f>
        <v/>
      </c>
    </row>
    <row r="978">
      <c r="A978">
        <f>NAV!A979</f>
        <v/>
      </c>
      <c r="B978">
        <f>IFERROR(NAV!B979/NAV!B978-1,"")</f>
        <v/>
      </c>
      <c r="C978">
        <f>IFERROR(NAV!C979/NAV!C978-1,"")</f>
        <v/>
      </c>
    </row>
    <row r="979">
      <c r="A979">
        <f>NAV!A980</f>
        <v/>
      </c>
      <c r="B979">
        <f>IFERROR(NAV!B980/NAV!B979-1,"")</f>
        <v/>
      </c>
      <c r="C979">
        <f>IFERROR(NAV!C980/NAV!C979-1,"")</f>
        <v/>
      </c>
    </row>
    <row r="980">
      <c r="A980">
        <f>NAV!A981</f>
        <v/>
      </c>
      <c r="B980">
        <f>IFERROR(NAV!B981/NAV!B980-1,"")</f>
        <v/>
      </c>
      <c r="C980">
        <f>IFERROR(NAV!C981/NAV!C980-1,"")</f>
        <v/>
      </c>
    </row>
    <row r="981">
      <c r="A981">
        <f>NAV!A982</f>
        <v/>
      </c>
      <c r="B981">
        <f>IFERROR(NAV!B982/NAV!B981-1,"")</f>
        <v/>
      </c>
      <c r="C981">
        <f>IFERROR(NAV!C982/NAV!C981-1,"")</f>
        <v/>
      </c>
    </row>
    <row r="982">
      <c r="A982">
        <f>NAV!A983</f>
        <v/>
      </c>
      <c r="B982">
        <f>IFERROR(NAV!B983/NAV!B982-1,"")</f>
        <v/>
      </c>
      <c r="C982">
        <f>IFERROR(NAV!C983/NAV!C982-1,"")</f>
        <v/>
      </c>
    </row>
    <row r="983">
      <c r="A983">
        <f>NAV!A984</f>
        <v/>
      </c>
      <c r="B983">
        <f>IFERROR(NAV!B984/NAV!B983-1,"")</f>
        <v/>
      </c>
      <c r="C983">
        <f>IFERROR(NAV!C984/NAV!C983-1,"")</f>
        <v/>
      </c>
    </row>
    <row r="984">
      <c r="A984">
        <f>NAV!A985</f>
        <v/>
      </c>
      <c r="B984">
        <f>IFERROR(NAV!B985/NAV!B984-1,"")</f>
        <v/>
      </c>
      <c r="C984">
        <f>IFERROR(NAV!C985/NAV!C984-1,"")</f>
        <v/>
      </c>
    </row>
    <row r="985">
      <c r="A985">
        <f>NAV!A986</f>
        <v/>
      </c>
      <c r="B985">
        <f>IFERROR(NAV!B986/NAV!B985-1,"")</f>
        <v/>
      </c>
      <c r="C985">
        <f>IFERROR(NAV!C986/NAV!C985-1,"")</f>
        <v/>
      </c>
    </row>
    <row r="986">
      <c r="A986">
        <f>NAV!A987</f>
        <v/>
      </c>
      <c r="B986">
        <f>IFERROR(NAV!B987/NAV!B986-1,"")</f>
        <v/>
      </c>
      <c r="C986">
        <f>IFERROR(NAV!C987/NAV!C986-1,"")</f>
        <v/>
      </c>
    </row>
    <row r="987">
      <c r="A987">
        <f>NAV!A988</f>
        <v/>
      </c>
      <c r="B987">
        <f>IFERROR(NAV!B988/NAV!B987-1,"")</f>
        <v/>
      </c>
      <c r="C987">
        <f>IFERROR(NAV!C988/NAV!C987-1,"")</f>
        <v/>
      </c>
    </row>
    <row r="988">
      <c r="A988">
        <f>NAV!A989</f>
        <v/>
      </c>
      <c r="B988">
        <f>IFERROR(NAV!B989/NAV!B988-1,"")</f>
        <v/>
      </c>
      <c r="C988">
        <f>IFERROR(NAV!C989/NAV!C988-1,"")</f>
        <v/>
      </c>
    </row>
    <row r="989">
      <c r="A989">
        <f>NAV!A990</f>
        <v/>
      </c>
      <c r="B989">
        <f>IFERROR(NAV!B990/NAV!B989-1,"")</f>
        <v/>
      </c>
      <c r="C989">
        <f>IFERROR(NAV!C990/NAV!C989-1,"")</f>
        <v/>
      </c>
    </row>
    <row r="990">
      <c r="A990">
        <f>NAV!A991</f>
        <v/>
      </c>
      <c r="B990">
        <f>IFERROR(NAV!B991/NAV!B990-1,"")</f>
        <v/>
      </c>
      <c r="C990">
        <f>IFERROR(NAV!C991/NAV!C990-1,"")</f>
        <v/>
      </c>
    </row>
    <row r="991">
      <c r="A991">
        <f>NAV!A992</f>
        <v/>
      </c>
      <c r="B991">
        <f>IFERROR(NAV!B992/NAV!B991-1,"")</f>
        <v/>
      </c>
      <c r="C991">
        <f>IFERROR(NAV!C992/NAV!C991-1,"")</f>
        <v/>
      </c>
    </row>
    <row r="992">
      <c r="A992">
        <f>NAV!A993</f>
        <v/>
      </c>
      <c r="B992">
        <f>IFERROR(NAV!B993/NAV!B992-1,"")</f>
        <v/>
      </c>
      <c r="C992">
        <f>IFERROR(NAV!C993/NAV!C992-1,"")</f>
        <v/>
      </c>
    </row>
    <row r="993">
      <c r="A993">
        <f>NAV!A994</f>
        <v/>
      </c>
      <c r="B993">
        <f>IFERROR(NAV!B994/NAV!B993-1,"")</f>
        <v/>
      </c>
      <c r="C993">
        <f>IFERROR(NAV!C994/NAV!C993-1,"")</f>
        <v/>
      </c>
    </row>
    <row r="994">
      <c r="A994">
        <f>NAV!A995</f>
        <v/>
      </c>
      <c r="B994">
        <f>IFERROR(NAV!B995/NAV!B994-1,"")</f>
        <v/>
      </c>
      <c r="C994">
        <f>IFERROR(NAV!C995/NAV!C994-1,"")</f>
        <v/>
      </c>
    </row>
    <row r="995">
      <c r="A995">
        <f>NAV!A996</f>
        <v/>
      </c>
      <c r="B995">
        <f>IFERROR(NAV!B996/NAV!B995-1,"")</f>
        <v/>
      </c>
      <c r="C995">
        <f>IFERROR(NAV!C996/NAV!C995-1,"")</f>
        <v/>
      </c>
    </row>
    <row r="996">
      <c r="A996">
        <f>NAV!A997</f>
        <v/>
      </c>
      <c r="B996">
        <f>IFERROR(NAV!B997/NAV!B996-1,"")</f>
        <v/>
      </c>
      <c r="C996">
        <f>IFERROR(NAV!C997/NAV!C996-1,"")</f>
        <v/>
      </c>
    </row>
    <row r="997">
      <c r="A997">
        <f>NAV!A998</f>
        <v/>
      </c>
      <c r="B997">
        <f>IFERROR(NAV!B998/NAV!B997-1,"")</f>
        <v/>
      </c>
      <c r="C997">
        <f>IFERROR(NAV!C998/NAV!C997-1,"")</f>
        <v/>
      </c>
    </row>
    <row r="998">
      <c r="A998">
        <f>NAV!A999</f>
        <v/>
      </c>
      <c r="B998">
        <f>IFERROR(NAV!B999/NAV!B998-1,"")</f>
        <v/>
      </c>
      <c r="C998">
        <f>IFERROR(NAV!C999/NAV!C998-1,"")</f>
        <v/>
      </c>
    </row>
    <row r="999">
      <c r="A999">
        <f>NAV!A1000</f>
        <v/>
      </c>
      <c r="B999">
        <f>IFERROR(NAV!B1000/NAV!B999-1,"")</f>
        <v/>
      </c>
      <c r="C999">
        <f>IFERROR(NAV!C1000/NAV!C999-1,"")</f>
        <v/>
      </c>
    </row>
    <row r="1000">
      <c r="A1000">
        <f>NAV!A1001</f>
        <v/>
      </c>
      <c r="B1000">
        <f>IFERROR(NAV!B1001/NAV!B1000-1,"")</f>
        <v/>
      </c>
      <c r="C1000">
        <f>IFERROR(NAV!C1001/NAV!C1000-1,"")</f>
        <v/>
      </c>
    </row>
    <row r="1001">
      <c r="A1001">
        <f>NAV!A1002</f>
        <v/>
      </c>
      <c r="B1001">
        <f>IFERROR(NAV!B1002/NAV!B1001-1,"")</f>
        <v/>
      </c>
      <c r="C1001">
        <f>IFERROR(NAV!C1002/NAV!C1001-1,"")</f>
        <v/>
      </c>
    </row>
    <row r="1002">
      <c r="A1002">
        <f>NAV!A1003</f>
        <v/>
      </c>
      <c r="B1002">
        <f>IFERROR(NAV!B1003/NAV!B1002-1,"")</f>
        <v/>
      </c>
      <c r="C1002">
        <f>IFERROR(NAV!C1003/NAV!C1002-1,"")</f>
        <v/>
      </c>
    </row>
    <row r="1003">
      <c r="A1003">
        <f>NAV!A1004</f>
        <v/>
      </c>
      <c r="B1003">
        <f>IFERROR(NAV!B1004/NAV!B1003-1,"")</f>
        <v/>
      </c>
      <c r="C1003">
        <f>IFERROR(NAV!C1004/NAV!C1003-1,"")</f>
        <v/>
      </c>
    </row>
    <row r="1004">
      <c r="A1004">
        <f>NAV!A1005</f>
        <v/>
      </c>
      <c r="B1004">
        <f>IFERROR(NAV!B1005/NAV!B1004-1,"")</f>
        <v/>
      </c>
      <c r="C1004">
        <f>IFERROR(NAV!C1005/NAV!C1004-1,"")</f>
        <v/>
      </c>
    </row>
    <row r="1005">
      <c r="A1005">
        <f>NAV!A1006</f>
        <v/>
      </c>
      <c r="B1005">
        <f>IFERROR(NAV!B1006/NAV!B1005-1,"")</f>
        <v/>
      </c>
      <c r="C1005">
        <f>IFERROR(NAV!C1006/NAV!C1005-1,"")</f>
        <v/>
      </c>
    </row>
    <row r="1006">
      <c r="A1006">
        <f>NAV!A1007</f>
        <v/>
      </c>
      <c r="B1006">
        <f>IFERROR(NAV!B1007/NAV!B1006-1,"")</f>
        <v/>
      </c>
      <c r="C1006">
        <f>IFERROR(NAV!C1007/NAV!C1006-1,"")</f>
        <v/>
      </c>
    </row>
    <row r="1007">
      <c r="A1007">
        <f>NAV!A1008</f>
        <v/>
      </c>
      <c r="B1007">
        <f>IFERROR(NAV!B1008/NAV!B1007-1,"")</f>
        <v/>
      </c>
      <c r="C1007">
        <f>IFERROR(NAV!C1008/NAV!C1007-1,"")</f>
        <v/>
      </c>
    </row>
    <row r="1008">
      <c r="A1008">
        <f>NAV!A1009</f>
        <v/>
      </c>
      <c r="B1008">
        <f>IFERROR(NAV!B1009/NAV!B1008-1,"")</f>
        <v/>
      </c>
      <c r="C1008">
        <f>IFERROR(NAV!C1009/NAV!C1008-1,"")</f>
        <v/>
      </c>
    </row>
    <row r="1009">
      <c r="A1009">
        <f>NAV!A1010</f>
        <v/>
      </c>
      <c r="B1009">
        <f>IFERROR(NAV!B1010/NAV!B1009-1,"")</f>
        <v/>
      </c>
      <c r="C1009">
        <f>IFERROR(NAV!C1010/NAV!C1009-1,"")</f>
        <v/>
      </c>
    </row>
    <row r="1010">
      <c r="A1010">
        <f>NAV!A1011</f>
        <v/>
      </c>
      <c r="B1010">
        <f>IFERROR(NAV!B1011/NAV!B1010-1,"")</f>
        <v/>
      </c>
      <c r="C1010">
        <f>IFERROR(NAV!C1011/NAV!C1010-1,"")</f>
        <v/>
      </c>
    </row>
    <row r="1011">
      <c r="A1011">
        <f>NAV!A1012</f>
        <v/>
      </c>
      <c r="B1011">
        <f>IFERROR(NAV!B1012/NAV!B1011-1,"")</f>
        <v/>
      </c>
      <c r="C1011">
        <f>IFERROR(NAV!C1012/NAV!C1011-1,"")</f>
        <v/>
      </c>
    </row>
    <row r="1012">
      <c r="A1012">
        <f>NAV!A1013</f>
        <v/>
      </c>
      <c r="B1012">
        <f>IFERROR(NAV!B1013/NAV!B1012-1,"")</f>
        <v/>
      </c>
      <c r="C1012">
        <f>IFERROR(NAV!C1013/NAV!C1012-1,"")</f>
        <v/>
      </c>
    </row>
    <row r="1013">
      <c r="A1013">
        <f>NAV!A1014</f>
        <v/>
      </c>
      <c r="B1013">
        <f>IFERROR(NAV!B1014/NAV!B1013-1,"")</f>
        <v/>
      </c>
      <c r="C1013">
        <f>IFERROR(NAV!C1014/NAV!C1013-1,"")</f>
        <v/>
      </c>
    </row>
    <row r="1014">
      <c r="A1014">
        <f>NAV!A1015</f>
        <v/>
      </c>
      <c r="B1014">
        <f>IFERROR(NAV!B1015/NAV!B1014-1,"")</f>
        <v/>
      </c>
      <c r="C1014">
        <f>IFERROR(NAV!C1015/NAV!C1014-1,"")</f>
        <v/>
      </c>
    </row>
    <row r="1015">
      <c r="A1015">
        <f>NAV!A1016</f>
        <v/>
      </c>
      <c r="B1015">
        <f>IFERROR(NAV!B1016/NAV!B1015-1,"")</f>
        <v/>
      </c>
      <c r="C1015">
        <f>IFERROR(NAV!C1016/NAV!C1015-1,"")</f>
        <v/>
      </c>
    </row>
    <row r="1016">
      <c r="A1016">
        <f>NAV!A1017</f>
        <v/>
      </c>
      <c r="B1016">
        <f>IFERROR(NAV!B1017/NAV!B1016-1,"")</f>
        <v/>
      </c>
      <c r="C1016">
        <f>IFERROR(NAV!C1017/NAV!C1016-1,"")</f>
        <v/>
      </c>
    </row>
    <row r="1017">
      <c r="A1017">
        <f>NAV!A1018</f>
        <v/>
      </c>
      <c r="B1017">
        <f>IFERROR(NAV!B1018/NAV!B1017-1,"")</f>
        <v/>
      </c>
      <c r="C1017">
        <f>IFERROR(NAV!C1018/NAV!C1017-1,"")</f>
        <v/>
      </c>
    </row>
    <row r="1018">
      <c r="A1018">
        <f>NAV!A1019</f>
        <v/>
      </c>
      <c r="B1018">
        <f>IFERROR(NAV!B1019/NAV!B1018-1,"")</f>
        <v/>
      </c>
      <c r="C1018">
        <f>IFERROR(NAV!C1019/NAV!C1018-1,"")</f>
        <v/>
      </c>
    </row>
    <row r="1019">
      <c r="A1019">
        <f>NAV!A1020</f>
        <v/>
      </c>
      <c r="B1019">
        <f>IFERROR(NAV!B1020/NAV!B1019-1,"")</f>
        <v/>
      </c>
      <c r="C1019">
        <f>IFERROR(NAV!C1020/NAV!C1019-1,"")</f>
        <v/>
      </c>
    </row>
    <row r="1020">
      <c r="A1020">
        <f>NAV!A1021</f>
        <v/>
      </c>
      <c r="B1020">
        <f>IFERROR(NAV!B1021/NAV!B1020-1,"")</f>
        <v/>
      </c>
      <c r="C1020">
        <f>IFERROR(NAV!C1021/NAV!C1020-1,"")</f>
        <v/>
      </c>
    </row>
    <row r="1021">
      <c r="A1021">
        <f>NAV!A1022</f>
        <v/>
      </c>
      <c r="B1021">
        <f>IFERROR(NAV!B1022/NAV!B1021-1,"")</f>
        <v/>
      </c>
      <c r="C1021">
        <f>IFERROR(NAV!C1022/NAV!C1021-1,"")</f>
        <v/>
      </c>
    </row>
    <row r="1022">
      <c r="A1022">
        <f>NAV!A1023</f>
        <v/>
      </c>
      <c r="B1022">
        <f>IFERROR(NAV!B1023/NAV!B1022-1,"")</f>
        <v/>
      </c>
      <c r="C1022">
        <f>IFERROR(NAV!C1023/NAV!C1022-1,"")</f>
        <v/>
      </c>
    </row>
    <row r="1023">
      <c r="A1023">
        <f>NAV!A1024</f>
        <v/>
      </c>
      <c r="B1023">
        <f>IFERROR(NAV!B1024/NAV!B1023-1,"")</f>
        <v/>
      </c>
      <c r="C1023">
        <f>IFERROR(NAV!C1024/NAV!C1023-1,"")</f>
        <v/>
      </c>
    </row>
    <row r="1024">
      <c r="A1024">
        <f>NAV!A1025</f>
        <v/>
      </c>
      <c r="B1024">
        <f>IFERROR(NAV!B1025/NAV!B1024-1,"")</f>
        <v/>
      </c>
      <c r="C1024">
        <f>IFERROR(NAV!C1025/NAV!C1024-1,"")</f>
        <v/>
      </c>
    </row>
    <row r="1025">
      <c r="A1025">
        <f>NAV!A1026</f>
        <v/>
      </c>
      <c r="B1025">
        <f>IFERROR(NAV!B1026/NAV!B1025-1,"")</f>
        <v/>
      </c>
      <c r="C1025">
        <f>IFERROR(NAV!C1026/NAV!C1025-1,"")</f>
        <v/>
      </c>
    </row>
    <row r="1026">
      <c r="A1026">
        <f>NAV!A1027</f>
        <v/>
      </c>
      <c r="B1026">
        <f>IFERROR(NAV!B1027/NAV!B1026-1,"")</f>
        <v/>
      </c>
      <c r="C1026">
        <f>IFERROR(NAV!C1027/NAV!C1026-1,"")</f>
        <v/>
      </c>
    </row>
    <row r="1027">
      <c r="A1027">
        <f>NAV!A1028</f>
        <v/>
      </c>
      <c r="B1027">
        <f>IFERROR(NAV!B1028/NAV!B1027-1,"")</f>
        <v/>
      </c>
      <c r="C1027">
        <f>IFERROR(NAV!C1028/NAV!C1027-1,"")</f>
        <v/>
      </c>
    </row>
    <row r="1028">
      <c r="A1028">
        <f>NAV!A1029</f>
        <v/>
      </c>
      <c r="B1028">
        <f>IFERROR(NAV!B1029/NAV!B1028-1,"")</f>
        <v/>
      </c>
      <c r="C1028">
        <f>IFERROR(NAV!C1029/NAV!C1028-1,"")</f>
        <v/>
      </c>
    </row>
    <row r="1029">
      <c r="A1029">
        <f>NAV!A1030</f>
        <v/>
      </c>
      <c r="B1029">
        <f>IFERROR(NAV!B1030/NAV!B1029-1,"")</f>
        <v/>
      </c>
      <c r="C1029">
        <f>IFERROR(NAV!C1030/NAV!C1029-1,"")</f>
        <v/>
      </c>
    </row>
    <row r="1030">
      <c r="A1030">
        <f>NAV!A1031</f>
        <v/>
      </c>
      <c r="B1030">
        <f>IFERROR(NAV!B1031/NAV!B1030-1,"")</f>
        <v/>
      </c>
      <c r="C1030">
        <f>IFERROR(NAV!C1031/NAV!C1030-1,"")</f>
        <v/>
      </c>
    </row>
    <row r="1031">
      <c r="A1031">
        <f>NAV!A1032</f>
        <v/>
      </c>
      <c r="B1031">
        <f>IFERROR(NAV!B1032/NAV!B1031-1,"")</f>
        <v/>
      </c>
      <c r="C1031">
        <f>IFERROR(NAV!C1032/NAV!C1031-1,"")</f>
        <v/>
      </c>
    </row>
    <row r="1032">
      <c r="A1032">
        <f>NAV!A1033</f>
        <v/>
      </c>
      <c r="B1032">
        <f>IFERROR(NAV!B1033/NAV!B1032-1,"")</f>
        <v/>
      </c>
      <c r="C1032">
        <f>IFERROR(NAV!C1033/NAV!C1032-1,"")</f>
        <v/>
      </c>
    </row>
    <row r="1033">
      <c r="A1033">
        <f>NAV!A1034</f>
        <v/>
      </c>
      <c r="B1033">
        <f>IFERROR(NAV!B1034/NAV!B1033-1,"")</f>
        <v/>
      </c>
      <c r="C1033">
        <f>IFERROR(NAV!C1034/NAV!C1033-1,"")</f>
        <v/>
      </c>
    </row>
    <row r="1034">
      <c r="A1034">
        <f>NAV!A1035</f>
        <v/>
      </c>
      <c r="B1034">
        <f>IFERROR(NAV!B1035/NAV!B1034-1,"")</f>
        <v/>
      </c>
      <c r="C1034">
        <f>IFERROR(NAV!C1035/NAV!C1034-1,"")</f>
        <v/>
      </c>
    </row>
    <row r="1035">
      <c r="A1035">
        <f>NAV!A1036</f>
        <v/>
      </c>
      <c r="B1035">
        <f>IFERROR(NAV!B1036/NAV!B1035-1,"")</f>
        <v/>
      </c>
      <c r="C1035">
        <f>IFERROR(NAV!C1036/NAV!C1035-1,"")</f>
        <v/>
      </c>
    </row>
    <row r="1036">
      <c r="A1036">
        <f>NAV!A1037</f>
        <v/>
      </c>
      <c r="B1036">
        <f>IFERROR(NAV!B1037/NAV!B1036-1,"")</f>
        <v/>
      </c>
      <c r="C1036">
        <f>IFERROR(NAV!C1037/NAV!C1036-1,"")</f>
        <v/>
      </c>
    </row>
    <row r="1037">
      <c r="A1037">
        <f>NAV!A1038</f>
        <v/>
      </c>
      <c r="B1037">
        <f>IFERROR(NAV!B1038/NAV!B1037-1,"")</f>
        <v/>
      </c>
      <c r="C1037">
        <f>IFERROR(NAV!C1038/NAV!C1037-1,"")</f>
        <v/>
      </c>
    </row>
    <row r="1038">
      <c r="A1038">
        <f>NAV!A1039</f>
        <v/>
      </c>
      <c r="B1038">
        <f>IFERROR(NAV!B1039/NAV!B1038-1,"")</f>
        <v/>
      </c>
      <c r="C1038">
        <f>IFERROR(NAV!C1039/NAV!C1038-1,"")</f>
        <v/>
      </c>
    </row>
    <row r="1039">
      <c r="A1039">
        <f>NAV!A1040</f>
        <v/>
      </c>
      <c r="B1039">
        <f>IFERROR(NAV!B1040/NAV!B1039-1,"")</f>
        <v/>
      </c>
      <c r="C1039">
        <f>IFERROR(NAV!C1040/NAV!C1039-1,"")</f>
        <v/>
      </c>
    </row>
    <row r="1040">
      <c r="A1040">
        <f>NAV!A1041</f>
        <v/>
      </c>
      <c r="B1040">
        <f>IFERROR(NAV!B1041/NAV!B1040-1,"")</f>
        <v/>
      </c>
      <c r="C1040">
        <f>IFERROR(NAV!C1041/NAV!C1040-1,"")</f>
        <v/>
      </c>
    </row>
    <row r="1041">
      <c r="A1041">
        <f>NAV!A1042</f>
        <v/>
      </c>
      <c r="B1041">
        <f>IFERROR(NAV!B1042/NAV!B1041-1,"")</f>
        <v/>
      </c>
      <c r="C1041">
        <f>IFERROR(NAV!C1042/NAV!C1041-1,"")</f>
        <v/>
      </c>
    </row>
    <row r="1042">
      <c r="A1042">
        <f>NAV!A1043</f>
        <v/>
      </c>
      <c r="B1042">
        <f>IFERROR(NAV!B1043/NAV!B1042-1,"")</f>
        <v/>
      </c>
      <c r="C1042">
        <f>IFERROR(NAV!C1043/NAV!C1042-1,"")</f>
        <v/>
      </c>
    </row>
    <row r="1043">
      <c r="A1043">
        <f>NAV!A1044</f>
        <v/>
      </c>
      <c r="B1043">
        <f>IFERROR(NAV!B1044/NAV!B1043-1,"")</f>
        <v/>
      </c>
      <c r="C1043">
        <f>IFERROR(NAV!C1044/NAV!C1043-1,"")</f>
        <v/>
      </c>
    </row>
    <row r="1044">
      <c r="A1044">
        <f>NAV!A1045</f>
        <v/>
      </c>
      <c r="B1044">
        <f>IFERROR(NAV!B1045/NAV!B1044-1,"")</f>
        <v/>
      </c>
      <c r="C1044">
        <f>IFERROR(NAV!C1045/NAV!C1044-1,"")</f>
        <v/>
      </c>
    </row>
    <row r="1045">
      <c r="A1045">
        <f>NAV!A1046</f>
        <v/>
      </c>
      <c r="B1045">
        <f>IFERROR(NAV!B1046/NAV!B1045-1,"")</f>
        <v/>
      </c>
      <c r="C1045">
        <f>IFERROR(NAV!C1046/NAV!C1045-1,"")</f>
        <v/>
      </c>
    </row>
    <row r="1046">
      <c r="A1046">
        <f>NAV!A1047</f>
        <v/>
      </c>
      <c r="B1046">
        <f>IFERROR(NAV!B1047/NAV!B1046-1,"")</f>
        <v/>
      </c>
      <c r="C1046">
        <f>IFERROR(NAV!C1047/NAV!C1046-1,"")</f>
        <v/>
      </c>
    </row>
    <row r="1047">
      <c r="A1047">
        <f>NAV!A1048</f>
        <v/>
      </c>
      <c r="B1047">
        <f>IFERROR(NAV!B1048/NAV!B1047-1,"")</f>
        <v/>
      </c>
      <c r="C1047">
        <f>IFERROR(NAV!C1048/NAV!C1047-1,"")</f>
        <v/>
      </c>
    </row>
    <row r="1048">
      <c r="A1048">
        <f>NAV!A1049</f>
        <v/>
      </c>
      <c r="B1048">
        <f>IFERROR(NAV!B1049/NAV!B1048-1,"")</f>
        <v/>
      </c>
      <c r="C1048">
        <f>IFERROR(NAV!C1049/NAV!C1048-1,"")</f>
        <v/>
      </c>
    </row>
    <row r="1049">
      <c r="A1049">
        <f>NAV!A1050</f>
        <v/>
      </c>
      <c r="B1049">
        <f>IFERROR(NAV!B1050/NAV!B1049-1,"")</f>
        <v/>
      </c>
      <c r="C1049">
        <f>IFERROR(NAV!C1050/NAV!C1049-1,"")</f>
        <v/>
      </c>
    </row>
    <row r="1050">
      <c r="A1050">
        <f>NAV!A1051</f>
        <v/>
      </c>
      <c r="B1050">
        <f>IFERROR(NAV!B1051/NAV!B1050-1,"")</f>
        <v/>
      </c>
      <c r="C1050">
        <f>IFERROR(NAV!C1051/NAV!C1050-1,"")</f>
        <v/>
      </c>
    </row>
    <row r="1051">
      <c r="A1051">
        <f>NAV!A1052</f>
        <v/>
      </c>
      <c r="B1051">
        <f>IFERROR(NAV!B1052/NAV!B1051-1,"")</f>
        <v/>
      </c>
      <c r="C1051">
        <f>IFERROR(NAV!C1052/NAV!C1051-1,"")</f>
        <v/>
      </c>
    </row>
    <row r="1052">
      <c r="A1052">
        <f>NAV!A1053</f>
        <v/>
      </c>
      <c r="B1052">
        <f>IFERROR(NAV!B1053/NAV!B1052-1,"")</f>
        <v/>
      </c>
      <c r="C1052">
        <f>IFERROR(NAV!C1053/NAV!C1052-1,"")</f>
        <v/>
      </c>
    </row>
    <row r="1053">
      <c r="A1053">
        <f>NAV!A1054</f>
        <v/>
      </c>
      <c r="B1053">
        <f>IFERROR(NAV!B1054/NAV!B1053-1,"")</f>
        <v/>
      </c>
      <c r="C1053">
        <f>IFERROR(NAV!C1054/NAV!C1053-1,"")</f>
        <v/>
      </c>
    </row>
    <row r="1054">
      <c r="A1054">
        <f>NAV!A1055</f>
        <v/>
      </c>
      <c r="B1054">
        <f>IFERROR(NAV!B1055/NAV!B1054-1,"")</f>
        <v/>
      </c>
      <c r="C1054">
        <f>IFERROR(NAV!C1055/NAV!C1054-1,"")</f>
        <v/>
      </c>
    </row>
    <row r="1055">
      <c r="A1055">
        <f>NAV!A1056</f>
        <v/>
      </c>
      <c r="B1055">
        <f>IFERROR(NAV!B1056/NAV!B1055-1,"")</f>
        <v/>
      </c>
      <c r="C1055">
        <f>IFERROR(NAV!C1056/NAV!C1055-1,"")</f>
        <v/>
      </c>
    </row>
    <row r="1056">
      <c r="A1056">
        <f>NAV!A1057</f>
        <v/>
      </c>
      <c r="B1056">
        <f>IFERROR(NAV!B1057/NAV!B1056-1,"")</f>
        <v/>
      </c>
      <c r="C1056">
        <f>IFERROR(NAV!C1057/NAV!C1056-1,"")</f>
        <v/>
      </c>
    </row>
    <row r="1057">
      <c r="A1057">
        <f>NAV!A1058</f>
        <v/>
      </c>
      <c r="B1057">
        <f>IFERROR(NAV!B1058/NAV!B1057-1,"")</f>
        <v/>
      </c>
      <c r="C1057">
        <f>IFERROR(NAV!C1058/NAV!C1057-1,"")</f>
        <v/>
      </c>
    </row>
    <row r="1058">
      <c r="A1058">
        <f>NAV!A1059</f>
        <v/>
      </c>
      <c r="B1058">
        <f>IFERROR(NAV!B1059/NAV!B1058-1,"")</f>
        <v/>
      </c>
      <c r="C1058">
        <f>IFERROR(NAV!C1059/NAV!C1058-1,"")</f>
        <v/>
      </c>
    </row>
    <row r="1059">
      <c r="A1059">
        <f>NAV!A1060</f>
        <v/>
      </c>
      <c r="B1059">
        <f>IFERROR(NAV!B1060/NAV!B1059-1,"")</f>
        <v/>
      </c>
      <c r="C1059">
        <f>IFERROR(NAV!C1060/NAV!C1059-1,"")</f>
        <v/>
      </c>
    </row>
    <row r="1060">
      <c r="A1060">
        <f>NAV!A1061</f>
        <v/>
      </c>
      <c r="B1060">
        <f>IFERROR(NAV!B1061/NAV!B1060-1,"")</f>
        <v/>
      </c>
      <c r="C1060">
        <f>IFERROR(NAV!C1061/NAV!C1060-1,"")</f>
        <v/>
      </c>
    </row>
    <row r="1061">
      <c r="A1061">
        <f>NAV!A1062</f>
        <v/>
      </c>
      <c r="B1061">
        <f>IFERROR(NAV!B1062/NAV!B1061-1,"")</f>
        <v/>
      </c>
      <c r="C1061">
        <f>IFERROR(NAV!C1062/NAV!C1061-1,"")</f>
        <v/>
      </c>
    </row>
    <row r="1062">
      <c r="A1062">
        <f>NAV!A1063</f>
        <v/>
      </c>
      <c r="B1062">
        <f>IFERROR(NAV!B1063/NAV!B1062-1,"")</f>
        <v/>
      </c>
      <c r="C1062">
        <f>IFERROR(NAV!C1063/NAV!C1062-1,"")</f>
        <v/>
      </c>
    </row>
    <row r="1063">
      <c r="A1063">
        <f>NAV!A1064</f>
        <v/>
      </c>
      <c r="B1063">
        <f>IFERROR(NAV!B1064/NAV!B1063-1,"")</f>
        <v/>
      </c>
      <c r="C1063">
        <f>IFERROR(NAV!C1064/NAV!C1063-1,"")</f>
        <v/>
      </c>
    </row>
    <row r="1064">
      <c r="A1064">
        <f>NAV!A1065</f>
        <v/>
      </c>
      <c r="B1064">
        <f>IFERROR(NAV!B1065/NAV!B1064-1,"")</f>
        <v/>
      </c>
      <c r="C1064">
        <f>IFERROR(NAV!C1065/NAV!C1064-1,"")</f>
        <v/>
      </c>
    </row>
    <row r="1065">
      <c r="A1065">
        <f>NAV!A1066</f>
        <v/>
      </c>
      <c r="B1065">
        <f>IFERROR(NAV!B1066/NAV!B1065-1,"")</f>
        <v/>
      </c>
      <c r="C1065">
        <f>IFERROR(NAV!C1066/NAV!C1065-1,"")</f>
        <v/>
      </c>
    </row>
    <row r="1066">
      <c r="A1066">
        <f>NAV!A1067</f>
        <v/>
      </c>
      <c r="B1066">
        <f>IFERROR(NAV!B1067/NAV!B1066-1,"")</f>
        <v/>
      </c>
      <c r="C1066">
        <f>IFERROR(NAV!C1067/NAV!C1066-1,"")</f>
        <v/>
      </c>
    </row>
    <row r="1067">
      <c r="A1067">
        <f>NAV!A1068</f>
        <v/>
      </c>
      <c r="B1067">
        <f>IFERROR(NAV!B1068/NAV!B1067-1,"")</f>
        <v/>
      </c>
      <c r="C1067">
        <f>IFERROR(NAV!C1068/NAV!C1067-1,"")</f>
        <v/>
      </c>
    </row>
    <row r="1068">
      <c r="A1068">
        <f>NAV!A1069</f>
        <v/>
      </c>
      <c r="B1068">
        <f>IFERROR(NAV!B1069/NAV!B1068-1,"")</f>
        <v/>
      </c>
      <c r="C1068">
        <f>IFERROR(NAV!C1069/NAV!C1068-1,"")</f>
        <v/>
      </c>
    </row>
    <row r="1069">
      <c r="A1069">
        <f>NAV!A1070</f>
        <v/>
      </c>
      <c r="B1069">
        <f>IFERROR(NAV!B1070/NAV!B1069-1,"")</f>
        <v/>
      </c>
      <c r="C1069">
        <f>IFERROR(NAV!C1070/NAV!C1069-1,"")</f>
        <v/>
      </c>
    </row>
    <row r="1070">
      <c r="A1070">
        <f>NAV!A1071</f>
        <v/>
      </c>
      <c r="B1070">
        <f>IFERROR(NAV!B1071/NAV!B1070-1,"")</f>
        <v/>
      </c>
      <c r="C1070">
        <f>IFERROR(NAV!C1071/NAV!C1070-1,"")</f>
        <v/>
      </c>
    </row>
    <row r="1071">
      <c r="A1071">
        <f>NAV!A1072</f>
        <v/>
      </c>
      <c r="B1071">
        <f>IFERROR(NAV!B1072/NAV!B1071-1,"")</f>
        <v/>
      </c>
      <c r="C1071">
        <f>IFERROR(NAV!C1072/NAV!C1071-1,"")</f>
        <v/>
      </c>
    </row>
    <row r="1072">
      <c r="A1072">
        <f>NAV!A1073</f>
        <v/>
      </c>
      <c r="B1072">
        <f>IFERROR(NAV!B1073/NAV!B1072-1,"")</f>
        <v/>
      </c>
      <c r="C1072">
        <f>IFERROR(NAV!C1073/NAV!C1072-1,"")</f>
        <v/>
      </c>
    </row>
    <row r="1073">
      <c r="A1073">
        <f>NAV!A1074</f>
        <v/>
      </c>
      <c r="B1073">
        <f>IFERROR(NAV!B1074/NAV!B1073-1,"")</f>
        <v/>
      </c>
      <c r="C1073">
        <f>IFERROR(NAV!C1074/NAV!C1073-1,"")</f>
        <v/>
      </c>
    </row>
    <row r="1074">
      <c r="A1074">
        <f>NAV!A1075</f>
        <v/>
      </c>
      <c r="B1074">
        <f>IFERROR(NAV!B1075/NAV!B1074-1,"")</f>
        <v/>
      </c>
      <c r="C1074">
        <f>IFERROR(NAV!C1075/NAV!C1074-1,"")</f>
        <v/>
      </c>
    </row>
    <row r="1075">
      <c r="A1075">
        <f>NAV!A1076</f>
        <v/>
      </c>
      <c r="B1075">
        <f>IFERROR(NAV!B1076/NAV!B1075-1,"")</f>
        <v/>
      </c>
      <c r="C1075">
        <f>IFERROR(NAV!C1076/NAV!C1075-1,"")</f>
        <v/>
      </c>
    </row>
    <row r="1076">
      <c r="A1076">
        <f>NAV!A1077</f>
        <v/>
      </c>
      <c r="B1076">
        <f>IFERROR(NAV!B1077/NAV!B1076-1,"")</f>
        <v/>
      </c>
      <c r="C1076">
        <f>IFERROR(NAV!C1077/NAV!C1076-1,"")</f>
        <v/>
      </c>
    </row>
    <row r="1077">
      <c r="A1077">
        <f>NAV!A1078</f>
        <v/>
      </c>
      <c r="B1077">
        <f>IFERROR(NAV!B1078/NAV!B1077-1,"")</f>
        <v/>
      </c>
      <c r="C1077">
        <f>IFERROR(NAV!C1078/NAV!C1077-1,"")</f>
        <v/>
      </c>
    </row>
    <row r="1078">
      <c r="A1078">
        <f>NAV!A1079</f>
        <v/>
      </c>
      <c r="B1078">
        <f>IFERROR(NAV!B1079/NAV!B1078-1,"")</f>
        <v/>
      </c>
      <c r="C1078">
        <f>IFERROR(NAV!C1079/NAV!C1078-1,"")</f>
        <v/>
      </c>
    </row>
    <row r="1079">
      <c r="A1079">
        <f>NAV!A1080</f>
        <v/>
      </c>
      <c r="B1079">
        <f>IFERROR(NAV!B1080/NAV!B1079-1,"")</f>
        <v/>
      </c>
      <c r="C1079">
        <f>IFERROR(NAV!C1080/NAV!C1079-1,"")</f>
        <v/>
      </c>
    </row>
    <row r="1080">
      <c r="A1080">
        <f>NAV!A1081</f>
        <v/>
      </c>
      <c r="B1080">
        <f>IFERROR(NAV!B1081/NAV!B1080-1,"")</f>
        <v/>
      </c>
      <c r="C1080">
        <f>IFERROR(NAV!C1081/NAV!C1080-1,"")</f>
        <v/>
      </c>
    </row>
    <row r="1081">
      <c r="A1081">
        <f>NAV!A1082</f>
        <v/>
      </c>
      <c r="B1081">
        <f>IFERROR(NAV!B1082/NAV!B1081-1,"")</f>
        <v/>
      </c>
      <c r="C1081">
        <f>IFERROR(NAV!C1082/NAV!C1081-1,"")</f>
        <v/>
      </c>
    </row>
    <row r="1082">
      <c r="A1082">
        <f>NAV!A1083</f>
        <v/>
      </c>
      <c r="B1082">
        <f>IFERROR(NAV!B1083/NAV!B1082-1,"")</f>
        <v/>
      </c>
      <c r="C1082">
        <f>IFERROR(NAV!C1083/NAV!C1082-1,"")</f>
        <v/>
      </c>
    </row>
    <row r="1083">
      <c r="A1083">
        <f>NAV!A1084</f>
        <v/>
      </c>
      <c r="B1083">
        <f>IFERROR(NAV!B1084/NAV!B1083-1,"")</f>
        <v/>
      </c>
      <c r="C1083">
        <f>IFERROR(NAV!C1084/NAV!C1083-1,"")</f>
        <v/>
      </c>
    </row>
    <row r="1084">
      <c r="A1084">
        <f>NAV!A1085</f>
        <v/>
      </c>
      <c r="B1084">
        <f>IFERROR(NAV!B1085/NAV!B1084-1,"")</f>
        <v/>
      </c>
      <c r="C1084">
        <f>IFERROR(NAV!C1085/NAV!C1084-1,"")</f>
        <v/>
      </c>
    </row>
    <row r="1085">
      <c r="A1085">
        <f>NAV!A1086</f>
        <v/>
      </c>
      <c r="B1085">
        <f>IFERROR(NAV!B1086/NAV!B1085-1,"")</f>
        <v/>
      </c>
      <c r="C1085">
        <f>IFERROR(NAV!C1086/NAV!C1085-1,"")</f>
        <v/>
      </c>
    </row>
    <row r="1086">
      <c r="A1086">
        <f>NAV!A1087</f>
        <v/>
      </c>
      <c r="B1086">
        <f>IFERROR(NAV!B1087/NAV!B1086-1,"")</f>
        <v/>
      </c>
      <c r="C1086">
        <f>IFERROR(NAV!C1087/NAV!C1086-1,"")</f>
        <v/>
      </c>
    </row>
    <row r="1087">
      <c r="A1087">
        <f>NAV!A1088</f>
        <v/>
      </c>
      <c r="B1087">
        <f>IFERROR(NAV!B1088/NAV!B1087-1,"")</f>
        <v/>
      </c>
      <c r="C1087">
        <f>IFERROR(NAV!C1088/NAV!C1087-1,"")</f>
        <v/>
      </c>
    </row>
    <row r="1088">
      <c r="A1088">
        <f>NAV!A1089</f>
        <v/>
      </c>
      <c r="B1088">
        <f>IFERROR(NAV!B1089/NAV!B1088-1,"")</f>
        <v/>
      </c>
      <c r="C1088">
        <f>IFERROR(NAV!C1089/NAV!C1088-1,"")</f>
        <v/>
      </c>
    </row>
    <row r="1089">
      <c r="A1089">
        <f>NAV!A1090</f>
        <v/>
      </c>
      <c r="B1089">
        <f>IFERROR(NAV!B1090/NAV!B1089-1,"")</f>
        <v/>
      </c>
      <c r="C1089">
        <f>IFERROR(NAV!C1090/NAV!C1089-1,"")</f>
        <v/>
      </c>
    </row>
    <row r="1090">
      <c r="A1090">
        <f>NAV!A1091</f>
        <v/>
      </c>
      <c r="B1090">
        <f>IFERROR(NAV!B1091/NAV!B1090-1,"")</f>
        <v/>
      </c>
      <c r="C1090">
        <f>IFERROR(NAV!C1091/NAV!C1090-1,"")</f>
        <v/>
      </c>
    </row>
    <row r="1091">
      <c r="A1091">
        <f>NAV!A1092</f>
        <v/>
      </c>
      <c r="B1091">
        <f>IFERROR(NAV!B1092/NAV!B1091-1,"")</f>
        <v/>
      </c>
      <c r="C1091">
        <f>IFERROR(NAV!C1092/NAV!C1091-1,"")</f>
        <v/>
      </c>
    </row>
    <row r="1092">
      <c r="A1092">
        <f>NAV!A1093</f>
        <v/>
      </c>
      <c r="B1092">
        <f>IFERROR(NAV!B1093/NAV!B1092-1,"")</f>
        <v/>
      </c>
      <c r="C1092">
        <f>IFERROR(NAV!C1093/NAV!C1092-1,"")</f>
        <v/>
      </c>
    </row>
    <row r="1093">
      <c r="A1093">
        <f>NAV!A1094</f>
        <v/>
      </c>
      <c r="B1093">
        <f>IFERROR(NAV!B1094/NAV!B1093-1,"")</f>
        <v/>
      </c>
      <c r="C1093">
        <f>IFERROR(NAV!C1094/NAV!C1093-1,"")</f>
        <v/>
      </c>
    </row>
    <row r="1094">
      <c r="A1094">
        <f>NAV!A1095</f>
        <v/>
      </c>
      <c r="B1094">
        <f>IFERROR(NAV!B1095/NAV!B1094-1,"")</f>
        <v/>
      </c>
      <c r="C1094">
        <f>IFERROR(NAV!C1095/NAV!C1094-1,"")</f>
        <v/>
      </c>
    </row>
    <row r="1095">
      <c r="A1095">
        <f>NAV!A1096</f>
        <v/>
      </c>
      <c r="B1095">
        <f>IFERROR(NAV!B1096/NAV!B1095-1,"")</f>
        <v/>
      </c>
      <c r="C1095">
        <f>IFERROR(NAV!C1096/NAV!C1095-1,"")</f>
        <v/>
      </c>
    </row>
    <row r="1096">
      <c r="A1096">
        <f>NAV!A1097</f>
        <v/>
      </c>
      <c r="B1096">
        <f>IFERROR(NAV!B1097/NAV!B1096-1,"")</f>
        <v/>
      </c>
      <c r="C1096">
        <f>IFERROR(NAV!C1097/NAV!C1096-1,"")</f>
        <v/>
      </c>
    </row>
    <row r="1097">
      <c r="A1097">
        <f>NAV!A1098</f>
        <v/>
      </c>
      <c r="B1097">
        <f>IFERROR(NAV!B1098/NAV!B1097-1,"")</f>
        <v/>
      </c>
      <c r="C1097">
        <f>IFERROR(NAV!C1098/NAV!C1097-1,"")</f>
        <v/>
      </c>
    </row>
    <row r="1098">
      <c r="A1098">
        <f>NAV!A1099</f>
        <v/>
      </c>
      <c r="B1098">
        <f>IFERROR(NAV!B1099/NAV!B1098-1,"")</f>
        <v/>
      </c>
      <c r="C1098">
        <f>IFERROR(NAV!C1099/NAV!C1098-1,"")</f>
        <v/>
      </c>
    </row>
    <row r="1099">
      <c r="A1099">
        <f>NAV!A1100</f>
        <v/>
      </c>
      <c r="B1099">
        <f>IFERROR(NAV!B1100/NAV!B1099-1,"")</f>
        <v/>
      </c>
      <c r="C1099">
        <f>IFERROR(NAV!C1100/NAV!C1099-1,"")</f>
        <v/>
      </c>
    </row>
    <row r="1100">
      <c r="A1100">
        <f>NAV!A1101</f>
        <v/>
      </c>
      <c r="B1100">
        <f>IFERROR(NAV!B1101/NAV!B1100-1,"")</f>
        <v/>
      </c>
      <c r="C1100">
        <f>IFERROR(NAV!C1101/NAV!C1100-1,"")</f>
        <v/>
      </c>
    </row>
    <row r="1101">
      <c r="A1101">
        <f>NAV!A1102</f>
        <v/>
      </c>
      <c r="B1101">
        <f>IFERROR(NAV!B1102/NAV!B1101-1,"")</f>
        <v/>
      </c>
      <c r="C1101">
        <f>IFERROR(NAV!C1102/NAV!C1101-1,"")</f>
        <v/>
      </c>
    </row>
    <row r="1102">
      <c r="A1102">
        <f>NAV!A1103</f>
        <v/>
      </c>
      <c r="B1102">
        <f>IFERROR(NAV!B1103/NAV!B1102-1,"")</f>
        <v/>
      </c>
      <c r="C1102">
        <f>IFERROR(NAV!C1103/NAV!C1102-1,"")</f>
        <v/>
      </c>
    </row>
    <row r="1103">
      <c r="A1103">
        <f>NAV!A1104</f>
        <v/>
      </c>
      <c r="B1103">
        <f>IFERROR(NAV!B1104/NAV!B1103-1,"")</f>
        <v/>
      </c>
      <c r="C1103">
        <f>IFERROR(NAV!C1104/NAV!C1103-1,"")</f>
        <v/>
      </c>
    </row>
    <row r="1104">
      <c r="A1104">
        <f>NAV!A1105</f>
        <v/>
      </c>
      <c r="B1104">
        <f>IFERROR(NAV!B1105/NAV!B1104-1,"")</f>
        <v/>
      </c>
      <c r="C1104">
        <f>IFERROR(NAV!C1105/NAV!C1104-1,"")</f>
        <v/>
      </c>
    </row>
    <row r="1105">
      <c r="A1105">
        <f>NAV!A1106</f>
        <v/>
      </c>
      <c r="B1105">
        <f>IFERROR(NAV!B1106/NAV!B1105-1,"")</f>
        <v/>
      </c>
      <c r="C1105">
        <f>IFERROR(NAV!C1106/NAV!C1105-1,"")</f>
        <v/>
      </c>
    </row>
    <row r="1106">
      <c r="A1106">
        <f>NAV!A1107</f>
        <v/>
      </c>
      <c r="B1106">
        <f>IFERROR(NAV!B1107/NAV!B1106-1,"")</f>
        <v/>
      </c>
      <c r="C1106">
        <f>IFERROR(NAV!C1107/NAV!C1106-1,"")</f>
        <v/>
      </c>
    </row>
    <row r="1107">
      <c r="A1107">
        <f>NAV!A1108</f>
        <v/>
      </c>
      <c r="B1107">
        <f>IFERROR(NAV!B1108/NAV!B1107-1,"")</f>
        <v/>
      </c>
      <c r="C1107">
        <f>IFERROR(NAV!C1108/NAV!C1107-1,"")</f>
        <v/>
      </c>
    </row>
    <row r="1108">
      <c r="A1108">
        <f>NAV!A1109</f>
        <v/>
      </c>
      <c r="B1108">
        <f>IFERROR(NAV!B1109/NAV!B1108-1,"")</f>
        <v/>
      </c>
      <c r="C1108">
        <f>IFERROR(NAV!C1109/NAV!C1108-1,"")</f>
        <v/>
      </c>
    </row>
    <row r="1109">
      <c r="A1109">
        <f>NAV!A1110</f>
        <v/>
      </c>
      <c r="B1109">
        <f>IFERROR(NAV!B1110/NAV!B1109-1,"")</f>
        <v/>
      </c>
      <c r="C1109">
        <f>IFERROR(NAV!C1110/NAV!C1109-1,"")</f>
        <v/>
      </c>
    </row>
    <row r="1110">
      <c r="A1110">
        <f>NAV!A1111</f>
        <v/>
      </c>
      <c r="B1110">
        <f>IFERROR(NAV!B1111/NAV!B1110-1,"")</f>
        <v/>
      </c>
      <c r="C1110">
        <f>IFERROR(NAV!C1111/NAV!C1110-1,"")</f>
        <v/>
      </c>
    </row>
    <row r="1111">
      <c r="A1111">
        <f>NAV!A1112</f>
        <v/>
      </c>
      <c r="B1111">
        <f>IFERROR(NAV!B1112/NAV!B1111-1,"")</f>
        <v/>
      </c>
      <c r="C1111">
        <f>IFERROR(NAV!C1112/NAV!C1111-1,"")</f>
        <v/>
      </c>
    </row>
    <row r="1112">
      <c r="A1112">
        <f>NAV!A1113</f>
        <v/>
      </c>
      <c r="B1112">
        <f>IFERROR(NAV!B1113/NAV!B1112-1,"")</f>
        <v/>
      </c>
      <c r="C1112">
        <f>IFERROR(NAV!C1113/NAV!C1112-1,"")</f>
        <v/>
      </c>
    </row>
    <row r="1113">
      <c r="A1113">
        <f>NAV!A1114</f>
        <v/>
      </c>
      <c r="B1113">
        <f>IFERROR(NAV!B1114/NAV!B1113-1,"")</f>
        <v/>
      </c>
      <c r="C1113">
        <f>IFERROR(NAV!C1114/NAV!C1113-1,"")</f>
        <v/>
      </c>
    </row>
    <row r="1114">
      <c r="A1114">
        <f>NAV!A1115</f>
        <v/>
      </c>
      <c r="B1114">
        <f>IFERROR(NAV!B1115/NAV!B1114-1,"")</f>
        <v/>
      </c>
      <c r="C1114">
        <f>IFERROR(NAV!C1115/NAV!C1114-1,"")</f>
        <v/>
      </c>
    </row>
    <row r="1115">
      <c r="A1115">
        <f>NAV!A1116</f>
        <v/>
      </c>
      <c r="B1115">
        <f>IFERROR(NAV!B1116/NAV!B1115-1,"")</f>
        <v/>
      </c>
      <c r="C1115">
        <f>IFERROR(NAV!C1116/NAV!C1115-1,"")</f>
        <v/>
      </c>
    </row>
    <row r="1116">
      <c r="A1116">
        <f>NAV!A1117</f>
        <v/>
      </c>
      <c r="B1116">
        <f>IFERROR(NAV!B1117/NAV!B1116-1,"")</f>
        <v/>
      </c>
      <c r="C1116">
        <f>IFERROR(NAV!C1117/NAV!C1116-1,"")</f>
        <v/>
      </c>
    </row>
    <row r="1117">
      <c r="A1117">
        <f>NAV!A1118</f>
        <v/>
      </c>
      <c r="B1117">
        <f>IFERROR(NAV!B1118/NAV!B1117-1,"")</f>
        <v/>
      </c>
      <c r="C1117">
        <f>IFERROR(NAV!C1118/NAV!C1117-1,"")</f>
        <v/>
      </c>
    </row>
    <row r="1118">
      <c r="A1118">
        <f>NAV!A1119</f>
        <v/>
      </c>
      <c r="B1118">
        <f>IFERROR(NAV!B1119/NAV!B1118-1,"")</f>
        <v/>
      </c>
      <c r="C1118">
        <f>IFERROR(NAV!C1119/NAV!C1118-1,"")</f>
        <v/>
      </c>
    </row>
    <row r="1119">
      <c r="A1119">
        <f>NAV!A1120</f>
        <v/>
      </c>
      <c r="B1119">
        <f>IFERROR(NAV!B1120/NAV!B1119-1,"")</f>
        <v/>
      </c>
      <c r="C1119">
        <f>IFERROR(NAV!C1120/NAV!C1119-1,"")</f>
        <v/>
      </c>
    </row>
    <row r="1120">
      <c r="A1120">
        <f>NAV!A1121</f>
        <v/>
      </c>
      <c r="B1120">
        <f>IFERROR(NAV!B1121/NAV!B1120-1,"")</f>
        <v/>
      </c>
      <c r="C1120">
        <f>IFERROR(NAV!C1121/NAV!C1120-1,"")</f>
        <v/>
      </c>
    </row>
    <row r="1121">
      <c r="A1121">
        <f>NAV!A1122</f>
        <v/>
      </c>
      <c r="B1121">
        <f>IFERROR(NAV!B1122/NAV!B1121-1,"")</f>
        <v/>
      </c>
      <c r="C1121">
        <f>IFERROR(NAV!C1122/NAV!C1121-1,"")</f>
        <v/>
      </c>
    </row>
    <row r="1122">
      <c r="A1122">
        <f>NAV!A1123</f>
        <v/>
      </c>
      <c r="B1122">
        <f>IFERROR(NAV!B1123/NAV!B1122-1,"")</f>
        <v/>
      </c>
      <c r="C1122">
        <f>IFERROR(NAV!C1123/NAV!C1122-1,"")</f>
        <v/>
      </c>
    </row>
    <row r="1123">
      <c r="A1123">
        <f>NAV!A1124</f>
        <v/>
      </c>
      <c r="B1123">
        <f>IFERROR(NAV!B1124/NAV!B1123-1,"")</f>
        <v/>
      </c>
      <c r="C1123">
        <f>IFERROR(NAV!C1124/NAV!C1123-1,"")</f>
        <v/>
      </c>
    </row>
    <row r="1124">
      <c r="A1124">
        <f>NAV!A1125</f>
        <v/>
      </c>
      <c r="B1124">
        <f>IFERROR(NAV!B1125/NAV!B1124-1,"")</f>
        <v/>
      </c>
      <c r="C1124">
        <f>IFERROR(NAV!C1125/NAV!C1124-1,"")</f>
        <v/>
      </c>
    </row>
    <row r="1125">
      <c r="A1125">
        <f>NAV!A1126</f>
        <v/>
      </c>
      <c r="B1125">
        <f>IFERROR(NAV!B1126/NAV!B1125-1,"")</f>
        <v/>
      </c>
      <c r="C1125">
        <f>IFERROR(NAV!C1126/NAV!C1125-1,"")</f>
        <v/>
      </c>
    </row>
    <row r="1126">
      <c r="A1126">
        <f>NAV!A1127</f>
        <v/>
      </c>
      <c r="B1126">
        <f>IFERROR(NAV!B1127/NAV!B1126-1,"")</f>
        <v/>
      </c>
      <c r="C1126">
        <f>IFERROR(NAV!C1127/NAV!C1126-1,"")</f>
        <v/>
      </c>
    </row>
    <row r="1127">
      <c r="A1127">
        <f>NAV!A1128</f>
        <v/>
      </c>
      <c r="B1127">
        <f>IFERROR(NAV!B1128/NAV!B1127-1,"")</f>
        <v/>
      </c>
      <c r="C1127">
        <f>IFERROR(NAV!C1128/NAV!C1127-1,"")</f>
        <v/>
      </c>
    </row>
    <row r="1128">
      <c r="A1128">
        <f>NAV!A1129</f>
        <v/>
      </c>
      <c r="B1128">
        <f>IFERROR(NAV!B1129/NAV!B1128-1,"")</f>
        <v/>
      </c>
      <c r="C1128">
        <f>IFERROR(NAV!C1129/NAV!C1128-1,"")</f>
        <v/>
      </c>
    </row>
    <row r="1129">
      <c r="A1129">
        <f>NAV!A1130</f>
        <v/>
      </c>
      <c r="B1129">
        <f>IFERROR(NAV!B1130/NAV!B1129-1,"")</f>
        <v/>
      </c>
      <c r="C1129">
        <f>IFERROR(NAV!C1130/NAV!C1129-1,"")</f>
        <v/>
      </c>
    </row>
    <row r="1130">
      <c r="A1130">
        <f>NAV!A1131</f>
        <v/>
      </c>
      <c r="B1130">
        <f>IFERROR(NAV!B1131/NAV!B1130-1,"")</f>
        <v/>
      </c>
      <c r="C1130">
        <f>IFERROR(NAV!C1131/NAV!C1130-1,"")</f>
        <v/>
      </c>
    </row>
    <row r="1131">
      <c r="A1131">
        <f>NAV!A1132</f>
        <v/>
      </c>
      <c r="B1131">
        <f>IFERROR(NAV!B1132/NAV!B1131-1,"")</f>
        <v/>
      </c>
      <c r="C1131">
        <f>IFERROR(NAV!C1132/NAV!C1131-1,"")</f>
        <v/>
      </c>
    </row>
    <row r="1132">
      <c r="A1132">
        <f>NAV!A1133</f>
        <v/>
      </c>
      <c r="B1132">
        <f>IFERROR(NAV!B1133/NAV!B1132-1,"")</f>
        <v/>
      </c>
      <c r="C1132">
        <f>IFERROR(NAV!C1133/NAV!C1132-1,"")</f>
        <v/>
      </c>
    </row>
    <row r="1133">
      <c r="A1133">
        <f>NAV!A1134</f>
        <v/>
      </c>
      <c r="B1133">
        <f>IFERROR(NAV!B1134/NAV!B1133-1,"")</f>
        <v/>
      </c>
      <c r="C1133">
        <f>IFERROR(NAV!C1134/NAV!C1133-1,"")</f>
        <v/>
      </c>
    </row>
    <row r="1134">
      <c r="A1134">
        <f>NAV!A1135</f>
        <v/>
      </c>
      <c r="B1134">
        <f>IFERROR(NAV!B1135/NAV!B1134-1,"")</f>
        <v/>
      </c>
      <c r="C1134">
        <f>IFERROR(NAV!C1135/NAV!C1134-1,"")</f>
        <v/>
      </c>
    </row>
    <row r="1135">
      <c r="A1135">
        <f>NAV!A1136</f>
        <v/>
      </c>
      <c r="B1135">
        <f>IFERROR(NAV!B1136/NAV!B1135-1,"")</f>
        <v/>
      </c>
      <c r="C1135">
        <f>IFERROR(NAV!C1136/NAV!C1135-1,"")</f>
        <v/>
      </c>
    </row>
    <row r="1136">
      <c r="A1136">
        <f>NAV!A1137</f>
        <v/>
      </c>
      <c r="B1136">
        <f>IFERROR(NAV!B1137/NAV!B1136-1,"")</f>
        <v/>
      </c>
      <c r="C1136">
        <f>IFERROR(NAV!C1137/NAV!C1136-1,"")</f>
        <v/>
      </c>
    </row>
    <row r="1137">
      <c r="A1137">
        <f>NAV!A1138</f>
        <v/>
      </c>
      <c r="B1137">
        <f>IFERROR(NAV!B1138/NAV!B1137-1,"")</f>
        <v/>
      </c>
      <c r="C1137">
        <f>IFERROR(NAV!C1138/NAV!C1137-1,"")</f>
        <v/>
      </c>
    </row>
    <row r="1138">
      <c r="A1138">
        <f>NAV!A1139</f>
        <v/>
      </c>
      <c r="B1138">
        <f>IFERROR(NAV!B1139/NAV!B1138-1,"")</f>
        <v/>
      </c>
      <c r="C1138">
        <f>IFERROR(NAV!C1139/NAV!C1138-1,"")</f>
        <v/>
      </c>
    </row>
    <row r="1139">
      <c r="A1139">
        <f>NAV!A1140</f>
        <v/>
      </c>
      <c r="B1139">
        <f>IFERROR(NAV!B1140/NAV!B1139-1,"")</f>
        <v/>
      </c>
      <c r="C1139">
        <f>IFERROR(NAV!C1140/NAV!C1139-1,"")</f>
        <v/>
      </c>
    </row>
    <row r="1140">
      <c r="A1140">
        <f>NAV!A1141</f>
        <v/>
      </c>
      <c r="B1140">
        <f>IFERROR(NAV!B1141/NAV!B1140-1,"")</f>
        <v/>
      </c>
      <c r="C1140">
        <f>IFERROR(NAV!C1141/NAV!C1140-1,"")</f>
        <v/>
      </c>
    </row>
    <row r="1141">
      <c r="A1141">
        <f>NAV!A1142</f>
        <v/>
      </c>
      <c r="B1141">
        <f>IFERROR(NAV!B1142/NAV!B1141-1,"")</f>
        <v/>
      </c>
      <c r="C1141">
        <f>IFERROR(NAV!C1142/NAV!C1141-1,"")</f>
        <v/>
      </c>
    </row>
    <row r="1142">
      <c r="A1142">
        <f>NAV!A1143</f>
        <v/>
      </c>
      <c r="B1142">
        <f>IFERROR(NAV!B1143/NAV!B1142-1,"")</f>
        <v/>
      </c>
      <c r="C1142">
        <f>IFERROR(NAV!C1143/NAV!C1142-1,"")</f>
        <v/>
      </c>
    </row>
    <row r="1143">
      <c r="A1143">
        <f>NAV!A1144</f>
        <v/>
      </c>
      <c r="B1143">
        <f>IFERROR(NAV!B1144/NAV!B1143-1,"")</f>
        <v/>
      </c>
      <c r="C1143">
        <f>IFERROR(NAV!C1144/NAV!C1143-1,"")</f>
        <v/>
      </c>
    </row>
    <row r="1144">
      <c r="A1144">
        <f>NAV!A1145</f>
        <v/>
      </c>
      <c r="B1144">
        <f>IFERROR(NAV!B1145/NAV!B1144-1,"")</f>
        <v/>
      </c>
      <c r="C1144">
        <f>IFERROR(NAV!C1145/NAV!C1144-1,"")</f>
        <v/>
      </c>
    </row>
    <row r="1145">
      <c r="A1145">
        <f>NAV!A1146</f>
        <v/>
      </c>
      <c r="B1145">
        <f>IFERROR(NAV!B1146/NAV!B1145-1,"")</f>
        <v/>
      </c>
      <c r="C1145">
        <f>IFERROR(NAV!C1146/NAV!C1145-1,"")</f>
        <v/>
      </c>
    </row>
    <row r="1146">
      <c r="A1146">
        <f>NAV!A1147</f>
        <v/>
      </c>
      <c r="B1146">
        <f>IFERROR(NAV!B1147/NAV!B1146-1,"")</f>
        <v/>
      </c>
      <c r="C1146">
        <f>IFERROR(NAV!C1147/NAV!C1146-1,"")</f>
        <v/>
      </c>
    </row>
    <row r="1147">
      <c r="A1147">
        <f>NAV!A1148</f>
        <v/>
      </c>
      <c r="B1147">
        <f>IFERROR(NAV!B1148/NAV!B1147-1,"")</f>
        <v/>
      </c>
      <c r="C1147">
        <f>IFERROR(NAV!C1148/NAV!C1147-1,"")</f>
        <v/>
      </c>
    </row>
    <row r="1148">
      <c r="A1148">
        <f>NAV!A1149</f>
        <v/>
      </c>
      <c r="B1148">
        <f>IFERROR(NAV!B1149/NAV!B1148-1,"")</f>
        <v/>
      </c>
      <c r="C1148">
        <f>IFERROR(NAV!C1149/NAV!C1148-1,"")</f>
        <v/>
      </c>
    </row>
    <row r="1149">
      <c r="A1149">
        <f>NAV!A1150</f>
        <v/>
      </c>
      <c r="B1149">
        <f>IFERROR(NAV!B1150/NAV!B1149-1,"")</f>
        <v/>
      </c>
      <c r="C1149">
        <f>IFERROR(NAV!C1150/NAV!C1149-1,"")</f>
        <v/>
      </c>
    </row>
    <row r="1150">
      <c r="A1150">
        <f>NAV!A1151</f>
        <v/>
      </c>
      <c r="B1150">
        <f>IFERROR(NAV!B1151/NAV!B1150-1,"")</f>
        <v/>
      </c>
      <c r="C1150">
        <f>IFERROR(NAV!C1151/NAV!C1150-1,"")</f>
        <v/>
      </c>
    </row>
    <row r="1151">
      <c r="A1151">
        <f>NAV!A1152</f>
        <v/>
      </c>
      <c r="B1151">
        <f>IFERROR(NAV!B1152/NAV!B1151-1,"")</f>
        <v/>
      </c>
      <c r="C1151">
        <f>IFERROR(NAV!C1152/NAV!C1151-1,"")</f>
        <v/>
      </c>
    </row>
    <row r="1152">
      <c r="A1152">
        <f>NAV!A1153</f>
        <v/>
      </c>
      <c r="B1152">
        <f>IFERROR(NAV!B1153/NAV!B1152-1,"")</f>
        <v/>
      </c>
      <c r="C1152">
        <f>IFERROR(NAV!C1153/NAV!C1152-1,"")</f>
        <v/>
      </c>
    </row>
    <row r="1153">
      <c r="A1153">
        <f>NAV!A1154</f>
        <v/>
      </c>
      <c r="B1153">
        <f>IFERROR(NAV!B1154/NAV!B1153-1,"")</f>
        <v/>
      </c>
      <c r="C1153">
        <f>IFERROR(NAV!C1154/NAV!C1153-1,"")</f>
        <v/>
      </c>
    </row>
    <row r="1154">
      <c r="A1154">
        <f>NAV!A1155</f>
        <v/>
      </c>
      <c r="B1154">
        <f>IFERROR(NAV!B1155/NAV!B1154-1,"")</f>
        <v/>
      </c>
      <c r="C1154">
        <f>IFERROR(NAV!C1155/NAV!C1154-1,"")</f>
        <v/>
      </c>
    </row>
    <row r="1155">
      <c r="A1155">
        <f>NAV!A1156</f>
        <v/>
      </c>
      <c r="B1155">
        <f>IFERROR(NAV!B1156/NAV!B1155-1,"")</f>
        <v/>
      </c>
      <c r="C1155">
        <f>IFERROR(NAV!C1156/NAV!C1155-1,"")</f>
        <v/>
      </c>
    </row>
    <row r="1156">
      <c r="A1156">
        <f>NAV!A1157</f>
        <v/>
      </c>
      <c r="B1156">
        <f>IFERROR(NAV!B1157/NAV!B1156-1,"")</f>
        <v/>
      </c>
      <c r="C1156">
        <f>IFERROR(NAV!C1157/NAV!C1156-1,"")</f>
        <v/>
      </c>
    </row>
    <row r="1157">
      <c r="A1157">
        <f>NAV!A1158</f>
        <v/>
      </c>
      <c r="B1157">
        <f>IFERROR(NAV!B1158/NAV!B1157-1,"")</f>
        <v/>
      </c>
      <c r="C1157">
        <f>IFERROR(NAV!C1158/NAV!C1157-1,"")</f>
        <v/>
      </c>
    </row>
    <row r="1158">
      <c r="A1158">
        <f>NAV!A1159</f>
        <v/>
      </c>
      <c r="B1158">
        <f>IFERROR(NAV!B1159/NAV!B1158-1,"")</f>
        <v/>
      </c>
      <c r="C1158">
        <f>IFERROR(NAV!C1159/NAV!C1158-1,"")</f>
        <v/>
      </c>
    </row>
    <row r="1159">
      <c r="A1159">
        <f>NAV!A1160</f>
        <v/>
      </c>
      <c r="B1159">
        <f>IFERROR(NAV!B1160/NAV!B1159-1,"")</f>
        <v/>
      </c>
      <c r="C1159">
        <f>IFERROR(NAV!C1160/NAV!C1159-1,"")</f>
        <v/>
      </c>
    </row>
    <row r="1160">
      <c r="A1160">
        <f>NAV!A1161</f>
        <v/>
      </c>
      <c r="B1160">
        <f>IFERROR(NAV!B1161/NAV!B1160-1,"")</f>
        <v/>
      </c>
      <c r="C1160">
        <f>IFERROR(NAV!C1161/NAV!C1160-1,"")</f>
        <v/>
      </c>
    </row>
    <row r="1161">
      <c r="A1161">
        <f>NAV!A1162</f>
        <v/>
      </c>
      <c r="B1161">
        <f>IFERROR(NAV!B1162/NAV!B1161-1,"")</f>
        <v/>
      </c>
      <c r="C1161">
        <f>IFERROR(NAV!C1162/NAV!C1161-1,"")</f>
        <v/>
      </c>
    </row>
    <row r="1162">
      <c r="A1162">
        <f>NAV!A1163</f>
        <v/>
      </c>
      <c r="B1162">
        <f>IFERROR(NAV!B1163/NAV!B1162-1,"")</f>
        <v/>
      </c>
      <c r="C1162">
        <f>IFERROR(NAV!C1163/NAV!C1162-1,"")</f>
        <v/>
      </c>
    </row>
    <row r="1163">
      <c r="A1163">
        <f>NAV!A1164</f>
        <v/>
      </c>
      <c r="B1163">
        <f>IFERROR(NAV!B1164/NAV!B1163-1,"")</f>
        <v/>
      </c>
      <c r="C1163">
        <f>IFERROR(NAV!C1164/NAV!C1163-1,"")</f>
        <v/>
      </c>
    </row>
    <row r="1164">
      <c r="A1164">
        <f>NAV!A1165</f>
        <v/>
      </c>
      <c r="B1164">
        <f>IFERROR(NAV!B1165/NAV!B1164-1,"")</f>
        <v/>
      </c>
      <c r="C1164">
        <f>IFERROR(NAV!C1165/NAV!C1164-1,"")</f>
        <v/>
      </c>
    </row>
    <row r="1165">
      <c r="A1165">
        <f>NAV!A1166</f>
        <v/>
      </c>
      <c r="B1165">
        <f>IFERROR(NAV!B1166/NAV!B1165-1,"")</f>
        <v/>
      </c>
      <c r="C1165">
        <f>IFERROR(NAV!C1166/NAV!C1165-1,"")</f>
        <v/>
      </c>
    </row>
    <row r="1166">
      <c r="A1166">
        <f>NAV!A1167</f>
        <v/>
      </c>
      <c r="B1166">
        <f>IFERROR(NAV!B1167/NAV!B1166-1,"")</f>
        <v/>
      </c>
      <c r="C1166">
        <f>IFERROR(NAV!C1167/NAV!C1166-1,"")</f>
        <v/>
      </c>
    </row>
    <row r="1167">
      <c r="A1167">
        <f>NAV!A1168</f>
        <v/>
      </c>
      <c r="B1167">
        <f>IFERROR(NAV!B1168/NAV!B1167-1,"")</f>
        <v/>
      </c>
      <c r="C1167">
        <f>IFERROR(NAV!C1168/NAV!C1167-1,"")</f>
        <v/>
      </c>
    </row>
    <row r="1168">
      <c r="A1168">
        <f>NAV!A1169</f>
        <v/>
      </c>
      <c r="B1168">
        <f>IFERROR(NAV!B1169/NAV!B1168-1,"")</f>
        <v/>
      </c>
      <c r="C1168">
        <f>IFERROR(NAV!C1169/NAV!C1168-1,"")</f>
        <v/>
      </c>
    </row>
    <row r="1169">
      <c r="A1169">
        <f>NAV!A1170</f>
        <v/>
      </c>
      <c r="B1169">
        <f>IFERROR(NAV!B1170/NAV!B1169-1,"")</f>
        <v/>
      </c>
      <c r="C1169">
        <f>IFERROR(NAV!C1170/NAV!C1169-1,"")</f>
        <v/>
      </c>
    </row>
    <row r="1170">
      <c r="A1170">
        <f>NAV!A1171</f>
        <v/>
      </c>
      <c r="B1170">
        <f>IFERROR(NAV!B1171/NAV!B1170-1,"")</f>
        <v/>
      </c>
      <c r="C1170">
        <f>IFERROR(NAV!C1171/NAV!C1170-1,"")</f>
        <v/>
      </c>
    </row>
    <row r="1171">
      <c r="A1171">
        <f>NAV!A1172</f>
        <v/>
      </c>
      <c r="B1171">
        <f>IFERROR(NAV!B1172/NAV!B1171-1,"")</f>
        <v/>
      </c>
      <c r="C1171">
        <f>IFERROR(NAV!C1172/NAV!C1171-1,"")</f>
        <v/>
      </c>
    </row>
    <row r="1172">
      <c r="A1172">
        <f>NAV!A1173</f>
        <v/>
      </c>
      <c r="B1172">
        <f>IFERROR(NAV!B1173/NAV!B1172-1,"")</f>
        <v/>
      </c>
      <c r="C1172">
        <f>IFERROR(NAV!C1173/NAV!C1172-1,"")</f>
        <v/>
      </c>
    </row>
    <row r="1173">
      <c r="A1173">
        <f>NAV!A1174</f>
        <v/>
      </c>
      <c r="B1173">
        <f>IFERROR(NAV!B1174/NAV!B1173-1,"")</f>
        <v/>
      </c>
      <c r="C1173">
        <f>IFERROR(NAV!C1174/NAV!C1173-1,"")</f>
        <v/>
      </c>
    </row>
    <row r="1174">
      <c r="A1174">
        <f>NAV!A1175</f>
        <v/>
      </c>
      <c r="B1174">
        <f>IFERROR(NAV!B1175/NAV!B1174-1,"")</f>
        <v/>
      </c>
      <c r="C1174">
        <f>IFERROR(NAV!C1175/NAV!C1174-1,"")</f>
        <v/>
      </c>
    </row>
    <row r="1175">
      <c r="A1175">
        <f>NAV!A1176</f>
        <v/>
      </c>
      <c r="B1175">
        <f>IFERROR(NAV!B1176/NAV!B1175-1,"")</f>
        <v/>
      </c>
      <c r="C1175">
        <f>IFERROR(NAV!C1176/NAV!C1175-1,"")</f>
        <v/>
      </c>
    </row>
    <row r="1176">
      <c r="A1176">
        <f>NAV!A1177</f>
        <v/>
      </c>
      <c r="B1176">
        <f>IFERROR(NAV!B1177/NAV!B1176-1,"")</f>
        <v/>
      </c>
      <c r="C1176">
        <f>IFERROR(NAV!C1177/NAV!C1176-1,"")</f>
        <v/>
      </c>
    </row>
    <row r="1177">
      <c r="A1177">
        <f>NAV!A1178</f>
        <v/>
      </c>
      <c r="B1177">
        <f>IFERROR(NAV!B1178/NAV!B1177-1,"")</f>
        <v/>
      </c>
      <c r="C1177">
        <f>IFERROR(NAV!C1178/NAV!C1177-1,"")</f>
        <v/>
      </c>
    </row>
    <row r="1178">
      <c r="A1178">
        <f>NAV!A1179</f>
        <v/>
      </c>
      <c r="B1178">
        <f>IFERROR(NAV!B1179/NAV!B1178-1,"")</f>
        <v/>
      </c>
      <c r="C1178">
        <f>IFERROR(NAV!C1179/NAV!C1178-1,"")</f>
        <v/>
      </c>
    </row>
    <row r="1179">
      <c r="A1179">
        <f>NAV!A1180</f>
        <v/>
      </c>
      <c r="B1179">
        <f>IFERROR(NAV!B1180/NAV!B1179-1,"")</f>
        <v/>
      </c>
      <c r="C1179">
        <f>IFERROR(NAV!C1180/NAV!C1179-1,"")</f>
        <v/>
      </c>
    </row>
    <row r="1180">
      <c r="A1180">
        <f>NAV!A1181</f>
        <v/>
      </c>
      <c r="B1180">
        <f>IFERROR(NAV!B1181/NAV!B1180-1,"")</f>
        <v/>
      </c>
      <c r="C1180">
        <f>IFERROR(NAV!C1181/NAV!C1180-1,"")</f>
        <v/>
      </c>
    </row>
    <row r="1181">
      <c r="A1181">
        <f>NAV!A1182</f>
        <v/>
      </c>
      <c r="B1181">
        <f>IFERROR(NAV!B1182/NAV!B1181-1,"")</f>
        <v/>
      </c>
      <c r="C1181">
        <f>IFERROR(NAV!C1182/NAV!C1181-1,"")</f>
        <v/>
      </c>
    </row>
    <row r="1182">
      <c r="A1182">
        <f>NAV!A1183</f>
        <v/>
      </c>
      <c r="B1182">
        <f>IFERROR(NAV!B1183/NAV!B1182-1,"")</f>
        <v/>
      </c>
      <c r="C1182">
        <f>IFERROR(NAV!C1183/NAV!C1182-1,"")</f>
        <v/>
      </c>
    </row>
    <row r="1183">
      <c r="A1183">
        <f>NAV!A1184</f>
        <v/>
      </c>
      <c r="B1183">
        <f>IFERROR(NAV!B1184/NAV!B1183-1,"")</f>
        <v/>
      </c>
      <c r="C1183">
        <f>IFERROR(NAV!C1184/NAV!C1183-1,"")</f>
        <v/>
      </c>
    </row>
    <row r="1184">
      <c r="A1184">
        <f>NAV!A1185</f>
        <v/>
      </c>
      <c r="B1184">
        <f>IFERROR(NAV!B1185/NAV!B1184-1,"")</f>
        <v/>
      </c>
      <c r="C1184">
        <f>IFERROR(NAV!C1185/NAV!C1184-1,"")</f>
        <v/>
      </c>
    </row>
    <row r="1185">
      <c r="A1185">
        <f>NAV!A1186</f>
        <v/>
      </c>
      <c r="B1185">
        <f>IFERROR(NAV!B1186/NAV!B1185-1,"")</f>
        <v/>
      </c>
      <c r="C1185">
        <f>IFERROR(NAV!C1186/NAV!C1185-1,"")</f>
        <v/>
      </c>
    </row>
    <row r="1186">
      <c r="A1186">
        <f>NAV!A1187</f>
        <v/>
      </c>
      <c r="B1186">
        <f>IFERROR(NAV!B1187/NAV!B1186-1,"")</f>
        <v/>
      </c>
      <c r="C1186">
        <f>IFERROR(NAV!C1187/NAV!C1186-1,"")</f>
        <v/>
      </c>
    </row>
    <row r="1187">
      <c r="A1187">
        <f>NAV!A1188</f>
        <v/>
      </c>
      <c r="B1187">
        <f>IFERROR(NAV!B1188/NAV!B1187-1,"")</f>
        <v/>
      </c>
      <c r="C1187">
        <f>IFERROR(NAV!C1188/NAV!C1187-1,"")</f>
        <v/>
      </c>
    </row>
    <row r="1188">
      <c r="A1188">
        <f>NAV!A1189</f>
        <v/>
      </c>
      <c r="B1188">
        <f>IFERROR(NAV!B1189/NAV!B1188-1,"")</f>
        <v/>
      </c>
      <c r="C1188">
        <f>IFERROR(NAV!C1189/NAV!C1188-1,"")</f>
        <v/>
      </c>
    </row>
    <row r="1189">
      <c r="A1189">
        <f>NAV!A1190</f>
        <v/>
      </c>
      <c r="B1189">
        <f>IFERROR(NAV!B1190/NAV!B1189-1,"")</f>
        <v/>
      </c>
      <c r="C1189">
        <f>IFERROR(NAV!C1190/NAV!C1189-1,"")</f>
        <v/>
      </c>
    </row>
    <row r="1190">
      <c r="A1190">
        <f>NAV!A1191</f>
        <v/>
      </c>
      <c r="B1190">
        <f>IFERROR(NAV!B1191/NAV!B1190-1,"")</f>
        <v/>
      </c>
      <c r="C1190">
        <f>IFERROR(NAV!C1191/NAV!C1190-1,"")</f>
        <v/>
      </c>
    </row>
    <row r="1191">
      <c r="A1191">
        <f>NAV!A1192</f>
        <v/>
      </c>
      <c r="B1191">
        <f>IFERROR(NAV!B1192/NAV!B1191-1,"")</f>
        <v/>
      </c>
      <c r="C1191">
        <f>IFERROR(NAV!C1192/NAV!C1191-1,"")</f>
        <v/>
      </c>
    </row>
    <row r="1192">
      <c r="A1192">
        <f>NAV!A1193</f>
        <v/>
      </c>
      <c r="B1192">
        <f>IFERROR(NAV!B1193/NAV!B1192-1,"")</f>
        <v/>
      </c>
      <c r="C1192">
        <f>IFERROR(NAV!C1193/NAV!C1192-1,"")</f>
        <v/>
      </c>
    </row>
    <row r="1193">
      <c r="A1193">
        <f>NAV!A1194</f>
        <v/>
      </c>
      <c r="B1193">
        <f>IFERROR(NAV!B1194/NAV!B1193-1,"")</f>
        <v/>
      </c>
      <c r="C1193">
        <f>IFERROR(NAV!C1194/NAV!C1193-1,"")</f>
        <v/>
      </c>
    </row>
    <row r="1194">
      <c r="A1194">
        <f>NAV!A1195</f>
        <v/>
      </c>
      <c r="B1194">
        <f>IFERROR(NAV!B1195/NAV!B1194-1,"")</f>
        <v/>
      </c>
      <c r="C1194">
        <f>IFERROR(NAV!C1195/NAV!C1194-1,"")</f>
        <v/>
      </c>
    </row>
    <row r="1195">
      <c r="A1195">
        <f>NAV!A1196</f>
        <v/>
      </c>
      <c r="B1195">
        <f>IFERROR(NAV!B1196/NAV!B1195-1,"")</f>
        <v/>
      </c>
      <c r="C1195">
        <f>IFERROR(NAV!C1196/NAV!C1195-1,"")</f>
        <v/>
      </c>
    </row>
    <row r="1196">
      <c r="A1196">
        <f>NAV!A1197</f>
        <v/>
      </c>
      <c r="B1196">
        <f>IFERROR(NAV!B1197/NAV!B1196-1,"")</f>
        <v/>
      </c>
      <c r="C1196">
        <f>IFERROR(NAV!C1197/NAV!C1196-1,"")</f>
        <v/>
      </c>
    </row>
    <row r="1197">
      <c r="A1197">
        <f>NAV!A1198</f>
        <v/>
      </c>
      <c r="B1197">
        <f>IFERROR(NAV!B1198/NAV!B1197-1,"")</f>
        <v/>
      </c>
      <c r="C1197">
        <f>IFERROR(NAV!C1198/NAV!C1197-1,"")</f>
        <v/>
      </c>
    </row>
    <row r="1198">
      <c r="A1198">
        <f>NAV!A1199</f>
        <v/>
      </c>
      <c r="B1198">
        <f>IFERROR(NAV!B1199/NAV!B1198-1,"")</f>
        <v/>
      </c>
      <c r="C1198">
        <f>IFERROR(NAV!C1199/NAV!C1198-1,"")</f>
        <v/>
      </c>
    </row>
    <row r="1199">
      <c r="A1199">
        <f>NAV!A1200</f>
        <v/>
      </c>
      <c r="B1199">
        <f>IFERROR(NAV!B1200/NAV!B1199-1,"")</f>
        <v/>
      </c>
      <c r="C1199">
        <f>IFERROR(NAV!C1200/NAV!C1199-1,"")</f>
        <v/>
      </c>
    </row>
    <row r="1200">
      <c r="A1200">
        <f>NAV!A1201</f>
        <v/>
      </c>
      <c r="B1200">
        <f>IFERROR(NAV!B1201/NAV!B1200-1,"")</f>
        <v/>
      </c>
      <c r="C1200">
        <f>IFERROR(NAV!C1201/NAV!C1200-1,"")</f>
        <v/>
      </c>
    </row>
    <row r="1201">
      <c r="A1201">
        <f>NAV!A1202</f>
        <v/>
      </c>
      <c r="B1201">
        <f>IFERROR(NAV!B1202/NAV!B1201-1,"")</f>
        <v/>
      </c>
      <c r="C1201">
        <f>IFERROR(NAV!C1202/NAV!C1201-1,"")</f>
        <v/>
      </c>
    </row>
    <row r="1202">
      <c r="A1202">
        <f>NAV!A1203</f>
        <v/>
      </c>
      <c r="B1202">
        <f>IFERROR(NAV!B1203/NAV!B1202-1,"")</f>
        <v/>
      </c>
      <c r="C1202">
        <f>IFERROR(NAV!C1203/NAV!C1202-1,"")</f>
        <v/>
      </c>
    </row>
    <row r="1203">
      <c r="A1203">
        <f>NAV!A1204</f>
        <v/>
      </c>
      <c r="B1203">
        <f>IFERROR(NAV!B1204/NAV!B1203-1,"")</f>
        <v/>
      </c>
      <c r="C1203">
        <f>IFERROR(NAV!C1204/NAV!C1203-1,"")</f>
        <v/>
      </c>
    </row>
    <row r="1204">
      <c r="A1204">
        <f>NAV!A1205</f>
        <v/>
      </c>
      <c r="B1204">
        <f>IFERROR(NAV!B1205/NAV!B1204-1,"")</f>
        <v/>
      </c>
      <c r="C1204">
        <f>IFERROR(NAV!C1205/NAV!C1204-1,"")</f>
        <v/>
      </c>
    </row>
    <row r="1205">
      <c r="A1205">
        <f>NAV!A1206</f>
        <v/>
      </c>
      <c r="B1205">
        <f>IFERROR(NAV!B1206/NAV!B1205-1,"")</f>
        <v/>
      </c>
      <c r="C1205">
        <f>IFERROR(NAV!C1206/NAV!C1205-1,"")</f>
        <v/>
      </c>
    </row>
    <row r="1206">
      <c r="A1206">
        <f>NAV!A1207</f>
        <v/>
      </c>
      <c r="B1206">
        <f>IFERROR(NAV!B1207/NAV!B1206-1,"")</f>
        <v/>
      </c>
      <c r="C1206">
        <f>IFERROR(NAV!C1207/NAV!C1206-1,"")</f>
        <v/>
      </c>
    </row>
    <row r="1207">
      <c r="A1207">
        <f>NAV!A1208</f>
        <v/>
      </c>
      <c r="B1207">
        <f>IFERROR(NAV!B1208/NAV!B1207-1,"")</f>
        <v/>
      </c>
      <c r="C1207">
        <f>IFERROR(NAV!C1208/NAV!C1207-1,"")</f>
        <v/>
      </c>
    </row>
    <row r="1208">
      <c r="A1208">
        <f>NAV!A1209</f>
        <v/>
      </c>
      <c r="B1208">
        <f>IFERROR(NAV!B1209/NAV!B1208-1,"")</f>
        <v/>
      </c>
      <c r="C1208">
        <f>IFERROR(NAV!C1209/NAV!C1208-1,"")</f>
        <v/>
      </c>
    </row>
    <row r="1209">
      <c r="A1209">
        <f>NAV!A1210</f>
        <v/>
      </c>
      <c r="B1209">
        <f>IFERROR(NAV!B1210/NAV!B1209-1,"")</f>
        <v/>
      </c>
      <c r="C1209">
        <f>IFERROR(NAV!C1210/NAV!C1209-1,"")</f>
        <v/>
      </c>
    </row>
    <row r="1210">
      <c r="A1210">
        <f>NAV!A1211</f>
        <v/>
      </c>
      <c r="B1210">
        <f>IFERROR(NAV!B1211/NAV!B1210-1,"")</f>
        <v/>
      </c>
      <c r="C1210">
        <f>IFERROR(NAV!C1211/NAV!C1210-1,"")</f>
        <v/>
      </c>
    </row>
    <row r="1211">
      <c r="A1211">
        <f>NAV!A1212</f>
        <v/>
      </c>
      <c r="B1211">
        <f>IFERROR(NAV!B1212/NAV!B1211-1,"")</f>
        <v/>
      </c>
      <c r="C1211">
        <f>IFERROR(NAV!C1212/NAV!C1211-1,"")</f>
        <v/>
      </c>
    </row>
    <row r="1212">
      <c r="A1212">
        <f>NAV!A1213</f>
        <v/>
      </c>
      <c r="B1212">
        <f>IFERROR(NAV!B1213/NAV!B1212-1,"")</f>
        <v/>
      </c>
      <c r="C1212">
        <f>IFERROR(NAV!C1213/NAV!C1212-1,"")</f>
        <v/>
      </c>
    </row>
    <row r="1213">
      <c r="A1213">
        <f>NAV!A1214</f>
        <v/>
      </c>
      <c r="B1213">
        <f>IFERROR(NAV!B1214/NAV!B1213-1,"")</f>
        <v/>
      </c>
      <c r="C1213">
        <f>IFERROR(NAV!C1214/NAV!C1213-1,"")</f>
        <v/>
      </c>
    </row>
    <row r="1214">
      <c r="A1214">
        <f>NAV!A1215</f>
        <v/>
      </c>
      <c r="B1214">
        <f>IFERROR(NAV!B1215/NAV!B1214-1,"")</f>
        <v/>
      </c>
      <c r="C1214">
        <f>IFERROR(NAV!C1215/NAV!C1214-1,"")</f>
        <v/>
      </c>
    </row>
    <row r="1215">
      <c r="A1215">
        <f>NAV!A1216</f>
        <v/>
      </c>
      <c r="B1215">
        <f>IFERROR(NAV!B1216/NAV!B1215-1,"")</f>
        <v/>
      </c>
      <c r="C1215">
        <f>IFERROR(NAV!C1216/NAV!C1215-1,"")</f>
        <v/>
      </c>
    </row>
    <row r="1216">
      <c r="A1216">
        <f>NAV!A1217</f>
        <v/>
      </c>
      <c r="B1216">
        <f>IFERROR(NAV!B1217/NAV!B1216-1,"")</f>
        <v/>
      </c>
      <c r="C1216">
        <f>IFERROR(NAV!C1217/NAV!C1216-1,"")</f>
        <v/>
      </c>
    </row>
    <row r="1217">
      <c r="A1217">
        <f>NAV!A1218</f>
        <v/>
      </c>
      <c r="B1217">
        <f>IFERROR(NAV!B1218/NAV!B1217-1,"")</f>
        <v/>
      </c>
      <c r="C1217">
        <f>IFERROR(NAV!C1218/NAV!C1217-1,"")</f>
        <v/>
      </c>
    </row>
    <row r="1218">
      <c r="A1218">
        <f>NAV!A1219</f>
        <v/>
      </c>
      <c r="B1218">
        <f>IFERROR(NAV!B1219/NAV!B1218-1,"")</f>
        <v/>
      </c>
      <c r="C1218">
        <f>IFERROR(NAV!C1219/NAV!C1218-1,"")</f>
        <v/>
      </c>
    </row>
    <row r="1219">
      <c r="A1219">
        <f>NAV!A1220</f>
        <v/>
      </c>
      <c r="B1219">
        <f>IFERROR(NAV!B1220/NAV!B1219-1,"")</f>
        <v/>
      </c>
      <c r="C1219">
        <f>IFERROR(NAV!C1220/NAV!C1219-1,"")</f>
        <v/>
      </c>
    </row>
    <row r="1220">
      <c r="A1220">
        <f>NAV!A1221</f>
        <v/>
      </c>
      <c r="B1220">
        <f>IFERROR(NAV!B1221/NAV!B1220-1,"")</f>
        <v/>
      </c>
      <c r="C1220">
        <f>IFERROR(NAV!C1221/NAV!C1220-1,"")</f>
        <v/>
      </c>
    </row>
    <row r="1221">
      <c r="A1221">
        <f>NAV!A1222</f>
        <v/>
      </c>
      <c r="B1221">
        <f>IFERROR(NAV!B1222/NAV!B1221-1,"")</f>
        <v/>
      </c>
      <c r="C1221">
        <f>IFERROR(NAV!C1222/NAV!C1221-1,"")</f>
        <v/>
      </c>
    </row>
    <row r="1222">
      <c r="A1222">
        <f>NAV!A1223</f>
        <v/>
      </c>
      <c r="B1222">
        <f>IFERROR(NAV!B1223/NAV!B1222-1,"")</f>
        <v/>
      </c>
      <c r="C1222">
        <f>IFERROR(NAV!C1223/NAV!C1222-1,"")</f>
        <v/>
      </c>
    </row>
    <row r="1223">
      <c r="A1223">
        <f>NAV!A1224</f>
        <v/>
      </c>
      <c r="B1223">
        <f>IFERROR(NAV!B1224/NAV!B1223-1,"")</f>
        <v/>
      </c>
      <c r="C1223">
        <f>IFERROR(NAV!C1224/NAV!C1223-1,"")</f>
        <v/>
      </c>
    </row>
    <row r="1224">
      <c r="A1224">
        <f>NAV!A1225</f>
        <v/>
      </c>
      <c r="B1224">
        <f>IFERROR(NAV!B1225/NAV!B1224-1,"")</f>
        <v/>
      </c>
      <c r="C1224">
        <f>IFERROR(NAV!C1225/NAV!C1224-1,"")</f>
        <v/>
      </c>
    </row>
    <row r="1225">
      <c r="A1225">
        <f>NAV!A1226</f>
        <v/>
      </c>
      <c r="B1225">
        <f>IFERROR(NAV!B1226/NAV!B1225-1,"")</f>
        <v/>
      </c>
      <c r="C1225">
        <f>IFERROR(NAV!C1226/NAV!C1225-1,"")</f>
        <v/>
      </c>
    </row>
    <row r="1226">
      <c r="A1226">
        <f>NAV!A1227</f>
        <v/>
      </c>
      <c r="B1226">
        <f>IFERROR(NAV!B1227/NAV!B1226-1,"")</f>
        <v/>
      </c>
      <c r="C1226">
        <f>IFERROR(NAV!C1227/NAV!C1226-1,"")</f>
        <v/>
      </c>
    </row>
    <row r="1227">
      <c r="A1227">
        <f>NAV!A1228</f>
        <v/>
      </c>
      <c r="B1227">
        <f>IFERROR(NAV!B1228/NAV!B1227-1,"")</f>
        <v/>
      </c>
      <c r="C1227">
        <f>IFERROR(NAV!C1228/NAV!C1227-1,"")</f>
        <v/>
      </c>
    </row>
    <row r="1228">
      <c r="A1228">
        <f>NAV!A1229</f>
        <v/>
      </c>
      <c r="B1228">
        <f>IFERROR(NAV!B1229/NAV!B1228-1,"")</f>
        <v/>
      </c>
      <c r="C1228">
        <f>IFERROR(NAV!C1229/NAV!C1228-1,"")</f>
        <v/>
      </c>
    </row>
    <row r="1229">
      <c r="A1229">
        <f>NAV!A1230</f>
        <v/>
      </c>
      <c r="B1229">
        <f>IFERROR(NAV!B1230/NAV!B1229-1,"")</f>
        <v/>
      </c>
      <c r="C1229">
        <f>IFERROR(NAV!C1230/NAV!C1229-1,"")</f>
        <v/>
      </c>
    </row>
    <row r="1230">
      <c r="A1230">
        <f>NAV!A1231</f>
        <v/>
      </c>
      <c r="B1230">
        <f>IFERROR(NAV!B1231/NAV!B1230-1,"")</f>
        <v/>
      </c>
      <c r="C1230">
        <f>IFERROR(NAV!C1231/NAV!C1230-1,"")</f>
        <v/>
      </c>
    </row>
    <row r="1231">
      <c r="A1231">
        <f>NAV!A1232</f>
        <v/>
      </c>
      <c r="B1231">
        <f>IFERROR(NAV!B1232/NAV!B1231-1,"")</f>
        <v/>
      </c>
      <c r="C1231">
        <f>IFERROR(NAV!C1232/NAV!C1231-1,"")</f>
        <v/>
      </c>
    </row>
    <row r="1232">
      <c r="A1232">
        <f>NAV!A1233</f>
        <v/>
      </c>
      <c r="B1232">
        <f>IFERROR(NAV!B1233/NAV!B1232-1,"")</f>
        <v/>
      </c>
      <c r="C1232">
        <f>IFERROR(NAV!C1233/NAV!C1232-1,"")</f>
        <v/>
      </c>
    </row>
    <row r="1233">
      <c r="A1233">
        <f>NAV!A1234</f>
        <v/>
      </c>
      <c r="B1233">
        <f>IFERROR(NAV!B1234/NAV!B1233-1,"")</f>
        <v/>
      </c>
      <c r="C1233">
        <f>IFERROR(NAV!C1234/NAV!C1233-1,"")</f>
        <v/>
      </c>
    </row>
    <row r="1234">
      <c r="A1234">
        <f>NAV!A1235</f>
        <v/>
      </c>
      <c r="B1234">
        <f>IFERROR(NAV!B1235/NAV!B1234-1,"")</f>
        <v/>
      </c>
      <c r="C1234">
        <f>IFERROR(NAV!C1235/NAV!C1234-1,"")</f>
        <v/>
      </c>
    </row>
    <row r="1235">
      <c r="A1235">
        <f>NAV!A1236</f>
        <v/>
      </c>
      <c r="B1235">
        <f>IFERROR(NAV!B1236/NAV!B1235-1,"")</f>
        <v/>
      </c>
      <c r="C1235">
        <f>IFERROR(NAV!C1236/NAV!C1235-1,"")</f>
        <v/>
      </c>
    </row>
    <row r="1236">
      <c r="A1236">
        <f>NAV!A1237</f>
        <v/>
      </c>
      <c r="B1236">
        <f>IFERROR(NAV!B1237/NAV!B1236-1,"")</f>
        <v/>
      </c>
      <c r="C1236">
        <f>IFERROR(NAV!C1237/NAV!C1236-1,"")</f>
        <v/>
      </c>
    </row>
    <row r="1237">
      <c r="A1237">
        <f>NAV!A1238</f>
        <v/>
      </c>
      <c r="B1237">
        <f>IFERROR(NAV!B1238/NAV!B1237-1,"")</f>
        <v/>
      </c>
      <c r="C1237">
        <f>IFERROR(NAV!C1238/NAV!C1237-1,"")</f>
        <v/>
      </c>
    </row>
    <row r="1238">
      <c r="A1238">
        <f>NAV!A1239</f>
        <v/>
      </c>
      <c r="B1238">
        <f>IFERROR(NAV!B1239/NAV!B1238-1,"")</f>
        <v/>
      </c>
      <c r="C1238">
        <f>IFERROR(NAV!C1239/NAV!C1238-1,"")</f>
        <v/>
      </c>
    </row>
    <row r="1239">
      <c r="A1239">
        <f>NAV!A1240</f>
        <v/>
      </c>
      <c r="B1239">
        <f>IFERROR(NAV!B1240/NAV!B1239-1,"")</f>
        <v/>
      </c>
      <c r="C1239">
        <f>IFERROR(NAV!C1240/NAV!C1239-1,"")</f>
        <v/>
      </c>
    </row>
    <row r="1240">
      <c r="A1240">
        <f>NAV!A1241</f>
        <v/>
      </c>
      <c r="B1240">
        <f>IFERROR(NAV!B1241/NAV!B1240-1,"")</f>
        <v/>
      </c>
      <c r="C1240">
        <f>IFERROR(NAV!C1241/NAV!C1240-1,"")</f>
        <v/>
      </c>
    </row>
    <row r="1241">
      <c r="A1241">
        <f>NAV!A1242</f>
        <v/>
      </c>
      <c r="B1241">
        <f>IFERROR(NAV!B1242/NAV!B1241-1,"")</f>
        <v/>
      </c>
      <c r="C1241">
        <f>IFERROR(NAV!C1242/NAV!C1241-1,"")</f>
        <v/>
      </c>
    </row>
    <row r="1242">
      <c r="A1242">
        <f>NAV!A1243</f>
        <v/>
      </c>
      <c r="B1242">
        <f>IFERROR(NAV!B1243/NAV!B1242-1,"")</f>
        <v/>
      </c>
      <c r="C1242">
        <f>IFERROR(NAV!C1243/NAV!C1242-1,"")</f>
        <v/>
      </c>
    </row>
    <row r="1243">
      <c r="A1243">
        <f>NAV!A1244</f>
        <v/>
      </c>
      <c r="B1243">
        <f>IFERROR(NAV!B1244/NAV!B1243-1,"")</f>
        <v/>
      </c>
      <c r="C1243">
        <f>IFERROR(NAV!C1244/NAV!C1243-1,"")</f>
        <v/>
      </c>
    </row>
    <row r="1244">
      <c r="A1244">
        <f>NAV!A1245</f>
        <v/>
      </c>
      <c r="B1244">
        <f>IFERROR(NAV!B1245/NAV!B1244-1,"")</f>
        <v/>
      </c>
      <c r="C1244">
        <f>IFERROR(NAV!C1245/NAV!C1244-1,"")</f>
        <v/>
      </c>
    </row>
    <row r="1245">
      <c r="A1245">
        <f>NAV!A1246</f>
        <v/>
      </c>
      <c r="B1245">
        <f>IFERROR(NAV!B1246/NAV!B1245-1,"")</f>
        <v/>
      </c>
      <c r="C1245">
        <f>IFERROR(NAV!C1246/NAV!C1245-1,"")</f>
        <v/>
      </c>
    </row>
    <row r="1246">
      <c r="A1246">
        <f>NAV!A1247</f>
        <v/>
      </c>
      <c r="B1246">
        <f>IFERROR(NAV!B1247/NAV!B1246-1,"")</f>
        <v/>
      </c>
      <c r="C1246">
        <f>IFERROR(NAV!C1247/NAV!C1246-1,"")</f>
        <v/>
      </c>
    </row>
    <row r="1247">
      <c r="A1247">
        <f>NAV!A1248</f>
        <v/>
      </c>
      <c r="B1247">
        <f>IFERROR(NAV!B1248/NAV!B1247-1,"")</f>
        <v/>
      </c>
      <c r="C1247">
        <f>IFERROR(NAV!C1248/NAV!C1247-1,"")</f>
        <v/>
      </c>
    </row>
    <row r="1248">
      <c r="A1248">
        <f>NAV!A1249</f>
        <v/>
      </c>
      <c r="B1248">
        <f>IFERROR(NAV!B1249/NAV!B1248-1,"")</f>
        <v/>
      </c>
      <c r="C1248">
        <f>IFERROR(NAV!C1249/NAV!C1248-1,"")</f>
        <v/>
      </c>
    </row>
    <row r="1249">
      <c r="A1249">
        <f>NAV!A1250</f>
        <v/>
      </c>
      <c r="B1249">
        <f>IFERROR(NAV!B1250/NAV!B1249-1,"")</f>
        <v/>
      </c>
      <c r="C1249">
        <f>IFERROR(NAV!C1250/NAV!C1249-1,"")</f>
        <v/>
      </c>
    </row>
    <row r="1250">
      <c r="A1250">
        <f>NAV!A1251</f>
        <v/>
      </c>
      <c r="B1250">
        <f>IFERROR(NAV!B1251/NAV!B1250-1,"")</f>
        <v/>
      </c>
      <c r="C1250">
        <f>IFERROR(NAV!C1251/NAV!C1250-1,"")</f>
        <v/>
      </c>
    </row>
    <row r="1251">
      <c r="A1251">
        <f>NAV!A1252</f>
        <v/>
      </c>
      <c r="B1251">
        <f>IFERROR(NAV!B1252/NAV!B1251-1,"")</f>
        <v/>
      </c>
      <c r="C1251">
        <f>IFERROR(NAV!C1252/NAV!C1251-1,"")</f>
        <v/>
      </c>
    </row>
    <row r="1252">
      <c r="A1252">
        <f>NAV!A1253</f>
        <v/>
      </c>
      <c r="B1252">
        <f>IFERROR(NAV!B1253/NAV!B1252-1,"")</f>
        <v/>
      </c>
      <c r="C1252">
        <f>IFERROR(NAV!C1253/NAV!C1252-1,"")</f>
        <v/>
      </c>
    </row>
    <row r="1253">
      <c r="A1253">
        <f>NAV!A1254</f>
        <v/>
      </c>
      <c r="B1253">
        <f>IFERROR(NAV!B1254/NAV!B1253-1,"")</f>
        <v/>
      </c>
      <c r="C1253">
        <f>IFERROR(NAV!C1254/NAV!C1253-1,"")</f>
        <v/>
      </c>
    </row>
    <row r="1254">
      <c r="A1254">
        <f>NAV!A1255</f>
        <v/>
      </c>
      <c r="B1254">
        <f>IFERROR(NAV!B1255/NAV!B1254-1,"")</f>
        <v/>
      </c>
      <c r="C1254">
        <f>IFERROR(NAV!C1255/NAV!C1254-1,"")</f>
        <v/>
      </c>
    </row>
    <row r="1255">
      <c r="A1255">
        <f>NAV!A1256</f>
        <v/>
      </c>
      <c r="B1255">
        <f>IFERROR(NAV!B1256/NAV!B1255-1,"")</f>
        <v/>
      </c>
      <c r="C1255">
        <f>IFERROR(NAV!C1256/NAV!C1255-1,"")</f>
        <v/>
      </c>
    </row>
    <row r="1256">
      <c r="A1256">
        <f>NAV!A1257</f>
        <v/>
      </c>
      <c r="B1256">
        <f>IFERROR(NAV!B1257/NAV!B1256-1,"")</f>
        <v/>
      </c>
      <c r="C1256">
        <f>IFERROR(NAV!C1257/NAV!C1256-1,"")</f>
        <v/>
      </c>
    </row>
    <row r="1257">
      <c r="A1257">
        <f>NAV!A1258</f>
        <v/>
      </c>
      <c r="B1257">
        <f>IFERROR(NAV!B1258/NAV!B1257-1,"")</f>
        <v/>
      </c>
      <c r="C1257">
        <f>IFERROR(NAV!C1258/NAV!C1257-1,"")</f>
        <v/>
      </c>
    </row>
    <row r="1258">
      <c r="A1258">
        <f>NAV!A1259</f>
        <v/>
      </c>
      <c r="B1258">
        <f>IFERROR(NAV!B1259/NAV!B1258-1,"")</f>
        <v/>
      </c>
      <c r="C1258">
        <f>IFERROR(NAV!C1259/NAV!C1258-1,"")</f>
        <v/>
      </c>
    </row>
    <row r="1259">
      <c r="A1259">
        <f>NAV!A1260</f>
        <v/>
      </c>
      <c r="B1259">
        <f>IFERROR(NAV!B1260/NAV!B1259-1,"")</f>
        <v/>
      </c>
      <c r="C1259">
        <f>IFERROR(NAV!C1260/NAV!C1259-1,"")</f>
        <v/>
      </c>
    </row>
    <row r="1260">
      <c r="A1260">
        <f>NAV!A1261</f>
        <v/>
      </c>
      <c r="B1260">
        <f>IFERROR(NAV!B1261/NAV!B1260-1,"")</f>
        <v/>
      </c>
      <c r="C1260">
        <f>IFERROR(NAV!C1261/NAV!C1260-1,"")</f>
        <v/>
      </c>
    </row>
    <row r="1261">
      <c r="A1261">
        <f>NAV!A1262</f>
        <v/>
      </c>
      <c r="B1261">
        <f>IFERROR(NAV!B1262/NAV!B1261-1,"")</f>
        <v/>
      </c>
      <c r="C1261">
        <f>IFERROR(NAV!C1262/NAV!C1261-1,"")</f>
        <v/>
      </c>
    </row>
    <row r="1262">
      <c r="A1262">
        <f>NAV!A1263</f>
        <v/>
      </c>
      <c r="B1262">
        <f>IFERROR(NAV!B1263/NAV!B1262-1,"")</f>
        <v/>
      </c>
      <c r="C1262">
        <f>IFERROR(NAV!C1263/NAV!C1262-1,"")</f>
        <v/>
      </c>
    </row>
    <row r="1263">
      <c r="A1263">
        <f>NAV!A1264</f>
        <v/>
      </c>
      <c r="B1263">
        <f>IFERROR(NAV!B1264/NAV!B1263-1,"")</f>
        <v/>
      </c>
      <c r="C1263">
        <f>IFERROR(NAV!C1264/NAV!C1263-1,"")</f>
        <v/>
      </c>
    </row>
    <row r="1264">
      <c r="A1264">
        <f>NAV!A1265</f>
        <v/>
      </c>
      <c r="B1264">
        <f>IFERROR(NAV!B1265/NAV!B1264-1,"")</f>
        <v/>
      </c>
      <c r="C1264">
        <f>IFERROR(NAV!C1265/NAV!C1264-1,"")</f>
        <v/>
      </c>
    </row>
    <row r="1265">
      <c r="A1265">
        <f>NAV!A1266</f>
        <v/>
      </c>
      <c r="B1265">
        <f>IFERROR(NAV!B1266/NAV!B1265-1,"")</f>
        <v/>
      </c>
      <c r="C1265">
        <f>IFERROR(NAV!C1266/NAV!C1265-1,"")</f>
        <v/>
      </c>
    </row>
    <row r="1266">
      <c r="A1266">
        <f>NAV!A1267</f>
        <v/>
      </c>
      <c r="B1266">
        <f>IFERROR(NAV!B1267/NAV!B1266-1,"")</f>
        <v/>
      </c>
      <c r="C1266">
        <f>IFERROR(NAV!C1267/NAV!C1266-1,"")</f>
        <v/>
      </c>
    </row>
    <row r="1267">
      <c r="A1267">
        <f>NAV!A1268</f>
        <v/>
      </c>
      <c r="B1267">
        <f>IFERROR(NAV!B1268/NAV!B1267-1,"")</f>
        <v/>
      </c>
      <c r="C1267">
        <f>IFERROR(NAV!C1268/NAV!C1267-1,"")</f>
        <v/>
      </c>
    </row>
    <row r="1268">
      <c r="A1268">
        <f>NAV!A1269</f>
        <v/>
      </c>
      <c r="B1268">
        <f>IFERROR(NAV!B1269/NAV!B1268-1,"")</f>
        <v/>
      </c>
      <c r="C1268">
        <f>IFERROR(NAV!C1269/NAV!C1268-1,"")</f>
        <v/>
      </c>
    </row>
    <row r="1269">
      <c r="A1269">
        <f>NAV!A1270</f>
        <v/>
      </c>
      <c r="B1269">
        <f>IFERROR(NAV!B1270/NAV!B1269-1,"")</f>
        <v/>
      </c>
      <c r="C1269">
        <f>IFERROR(NAV!C1270/NAV!C1269-1,"")</f>
        <v/>
      </c>
    </row>
    <row r="1270">
      <c r="A1270">
        <f>NAV!A1271</f>
        <v/>
      </c>
      <c r="B1270">
        <f>IFERROR(NAV!B1271/NAV!B1270-1,"")</f>
        <v/>
      </c>
      <c r="C1270">
        <f>IFERROR(NAV!C1271/NAV!C1270-1,"")</f>
        <v/>
      </c>
    </row>
    <row r="1271">
      <c r="A1271">
        <f>NAV!A1272</f>
        <v/>
      </c>
      <c r="B1271">
        <f>IFERROR(NAV!B1272/NAV!B1271-1,"")</f>
        <v/>
      </c>
      <c r="C1271">
        <f>IFERROR(NAV!C1272/NAV!C1271-1,"")</f>
        <v/>
      </c>
    </row>
    <row r="1272">
      <c r="A1272">
        <f>NAV!A1273</f>
        <v/>
      </c>
      <c r="B1272">
        <f>IFERROR(NAV!B1273/NAV!B1272-1,"")</f>
        <v/>
      </c>
      <c r="C1272">
        <f>IFERROR(NAV!C1273/NAV!C1272-1,"")</f>
        <v/>
      </c>
    </row>
    <row r="1273">
      <c r="A1273">
        <f>NAV!A1274</f>
        <v/>
      </c>
      <c r="B1273">
        <f>IFERROR(NAV!B1274/NAV!B1273-1,"")</f>
        <v/>
      </c>
      <c r="C1273">
        <f>IFERROR(NAV!C1274/NAV!C1273-1,"")</f>
        <v/>
      </c>
    </row>
    <row r="1274">
      <c r="A1274">
        <f>NAV!A1275</f>
        <v/>
      </c>
      <c r="B1274">
        <f>IFERROR(NAV!B1275/NAV!B1274-1,"")</f>
        <v/>
      </c>
      <c r="C1274">
        <f>IFERROR(NAV!C1275/NAV!C1274-1,"")</f>
        <v/>
      </c>
    </row>
    <row r="1275">
      <c r="A1275">
        <f>NAV!A1276</f>
        <v/>
      </c>
      <c r="B1275">
        <f>IFERROR(NAV!B1276/NAV!B1275-1,"")</f>
        <v/>
      </c>
      <c r="C1275">
        <f>IFERROR(NAV!C1276/NAV!C1275-1,"")</f>
        <v/>
      </c>
    </row>
    <row r="1276">
      <c r="A1276">
        <f>NAV!A1277</f>
        <v/>
      </c>
      <c r="B1276">
        <f>IFERROR(NAV!B1277/NAV!B1276-1,"")</f>
        <v/>
      </c>
      <c r="C1276">
        <f>IFERROR(NAV!C1277/NAV!C1276-1,"")</f>
        <v/>
      </c>
    </row>
    <row r="1277">
      <c r="A1277">
        <f>NAV!A1278</f>
        <v/>
      </c>
      <c r="B1277">
        <f>IFERROR(NAV!B1278/NAV!B1277-1,"")</f>
        <v/>
      </c>
      <c r="C1277">
        <f>IFERROR(NAV!C1278/NAV!C1277-1,"")</f>
        <v/>
      </c>
    </row>
    <row r="1278">
      <c r="A1278">
        <f>NAV!A1279</f>
        <v/>
      </c>
      <c r="B1278">
        <f>IFERROR(NAV!B1279/NAV!B1278-1,"")</f>
        <v/>
      </c>
      <c r="C1278">
        <f>IFERROR(NAV!C1279/NAV!C1278-1,"")</f>
        <v/>
      </c>
    </row>
    <row r="1279">
      <c r="A1279">
        <f>NAV!A1280</f>
        <v/>
      </c>
      <c r="B1279">
        <f>IFERROR(NAV!B1280/NAV!B1279-1,"")</f>
        <v/>
      </c>
      <c r="C1279">
        <f>IFERROR(NAV!C1280/NAV!C1279-1,"")</f>
        <v/>
      </c>
    </row>
    <row r="1280">
      <c r="A1280">
        <f>NAV!A1281</f>
        <v/>
      </c>
      <c r="B1280">
        <f>IFERROR(NAV!B1281/NAV!B1280-1,"")</f>
        <v/>
      </c>
      <c r="C1280">
        <f>IFERROR(NAV!C1281/NAV!C1280-1,"")</f>
        <v/>
      </c>
    </row>
    <row r="1281">
      <c r="A1281">
        <f>NAV!A1282</f>
        <v/>
      </c>
      <c r="B1281">
        <f>IFERROR(NAV!B1282/NAV!B1281-1,"")</f>
        <v/>
      </c>
      <c r="C1281">
        <f>IFERROR(NAV!C1282/NAV!C1281-1,"")</f>
        <v/>
      </c>
    </row>
    <row r="1282">
      <c r="A1282">
        <f>NAV!A1283</f>
        <v/>
      </c>
      <c r="B1282">
        <f>IFERROR(NAV!B1283/NAV!B1282-1,"")</f>
        <v/>
      </c>
      <c r="C1282">
        <f>IFERROR(NAV!C1283/NAV!C1282-1,"")</f>
        <v/>
      </c>
    </row>
    <row r="1283">
      <c r="A1283">
        <f>NAV!A1284</f>
        <v/>
      </c>
      <c r="B1283">
        <f>IFERROR(NAV!B1284/NAV!B1283-1,"")</f>
        <v/>
      </c>
      <c r="C1283">
        <f>IFERROR(NAV!C1284/NAV!C1283-1,"")</f>
        <v/>
      </c>
    </row>
    <row r="1284">
      <c r="A1284">
        <f>NAV!A1285</f>
        <v/>
      </c>
      <c r="B1284">
        <f>IFERROR(NAV!B1285/NAV!B1284-1,"")</f>
        <v/>
      </c>
      <c r="C1284">
        <f>IFERROR(NAV!C1285/NAV!C1284-1,"")</f>
        <v/>
      </c>
    </row>
    <row r="1285">
      <c r="A1285">
        <f>NAV!A1286</f>
        <v/>
      </c>
      <c r="B1285">
        <f>IFERROR(NAV!B1286/NAV!B1285-1,"")</f>
        <v/>
      </c>
      <c r="C1285">
        <f>IFERROR(NAV!C1286/NAV!C1285-1,"")</f>
        <v/>
      </c>
    </row>
    <row r="1286">
      <c r="A1286">
        <f>NAV!A1287</f>
        <v/>
      </c>
      <c r="B1286">
        <f>IFERROR(NAV!B1287/NAV!B1286-1,"")</f>
        <v/>
      </c>
      <c r="C1286">
        <f>IFERROR(NAV!C1287/NAV!C1286-1,"")</f>
        <v/>
      </c>
    </row>
    <row r="1287">
      <c r="A1287">
        <f>NAV!A1288</f>
        <v/>
      </c>
      <c r="B1287">
        <f>IFERROR(NAV!B1288/NAV!B1287-1,"")</f>
        <v/>
      </c>
      <c r="C1287">
        <f>IFERROR(NAV!C1288/NAV!C1287-1,"")</f>
        <v/>
      </c>
    </row>
    <row r="1288">
      <c r="A1288">
        <f>NAV!A1289</f>
        <v/>
      </c>
      <c r="B1288">
        <f>IFERROR(NAV!B1289/NAV!B1288-1,"")</f>
        <v/>
      </c>
      <c r="C1288">
        <f>IFERROR(NAV!C1289/NAV!C1288-1,"")</f>
        <v/>
      </c>
    </row>
    <row r="1289">
      <c r="A1289">
        <f>NAV!A1290</f>
        <v/>
      </c>
      <c r="B1289">
        <f>IFERROR(NAV!B1290/NAV!B1289-1,"")</f>
        <v/>
      </c>
      <c r="C1289">
        <f>IFERROR(NAV!C1290/NAV!C1289-1,"")</f>
        <v/>
      </c>
    </row>
    <row r="1290">
      <c r="A1290">
        <f>NAV!A1291</f>
        <v/>
      </c>
      <c r="B1290">
        <f>IFERROR(NAV!B1291/NAV!B1290-1,"")</f>
        <v/>
      </c>
      <c r="C1290">
        <f>IFERROR(NAV!C1291/NAV!C1290-1,"")</f>
        <v/>
      </c>
    </row>
    <row r="1291">
      <c r="A1291">
        <f>NAV!A1292</f>
        <v/>
      </c>
      <c r="B1291">
        <f>IFERROR(NAV!B1292/NAV!B1291-1,"")</f>
        <v/>
      </c>
      <c r="C1291">
        <f>IFERROR(NAV!C1292/NAV!C1291-1,"")</f>
        <v/>
      </c>
    </row>
    <row r="1292">
      <c r="A1292">
        <f>NAV!A1293</f>
        <v/>
      </c>
      <c r="B1292">
        <f>IFERROR(NAV!B1293/NAV!B1292-1,"")</f>
        <v/>
      </c>
      <c r="C1292">
        <f>IFERROR(NAV!C1293/NAV!C1292-1,"")</f>
        <v/>
      </c>
    </row>
    <row r="1293">
      <c r="A1293">
        <f>NAV!A1294</f>
        <v/>
      </c>
      <c r="B1293">
        <f>IFERROR(NAV!B1294/NAV!B1293-1,"")</f>
        <v/>
      </c>
      <c r="C1293">
        <f>IFERROR(NAV!C1294/NAV!C1293-1,"")</f>
        <v/>
      </c>
    </row>
    <row r="1294">
      <c r="A1294">
        <f>NAV!A1295</f>
        <v/>
      </c>
      <c r="B1294">
        <f>IFERROR(NAV!B1295/NAV!B1294-1,"")</f>
        <v/>
      </c>
      <c r="C1294">
        <f>IFERROR(NAV!C1295/NAV!C1294-1,"")</f>
        <v/>
      </c>
    </row>
    <row r="1295">
      <c r="A1295">
        <f>NAV!A1296</f>
        <v/>
      </c>
      <c r="B1295">
        <f>IFERROR(NAV!B1296/NAV!B1295-1,"")</f>
        <v/>
      </c>
      <c r="C1295">
        <f>IFERROR(NAV!C1296/NAV!C1295-1,"")</f>
        <v/>
      </c>
    </row>
    <row r="1296">
      <c r="A1296">
        <f>NAV!A1297</f>
        <v/>
      </c>
      <c r="B1296">
        <f>IFERROR(NAV!B1297/NAV!B1296-1,"")</f>
        <v/>
      </c>
      <c r="C1296">
        <f>IFERROR(NAV!C1297/NAV!C1296-1,"")</f>
        <v/>
      </c>
    </row>
    <row r="1297">
      <c r="A1297">
        <f>NAV!A1298</f>
        <v/>
      </c>
      <c r="B1297">
        <f>IFERROR(NAV!B1298/NAV!B1297-1,"")</f>
        <v/>
      </c>
      <c r="C1297">
        <f>IFERROR(NAV!C1298/NAV!C1297-1,"")</f>
        <v/>
      </c>
    </row>
    <row r="1298">
      <c r="A1298">
        <f>NAV!A1299</f>
        <v/>
      </c>
      <c r="B1298">
        <f>IFERROR(NAV!B1299/NAV!B1298-1,"")</f>
        <v/>
      </c>
      <c r="C1298">
        <f>IFERROR(NAV!C1299/NAV!C1298-1,"")</f>
        <v/>
      </c>
    </row>
    <row r="1299">
      <c r="A1299">
        <f>NAV!A1300</f>
        <v/>
      </c>
      <c r="B1299">
        <f>IFERROR(NAV!B1300/NAV!B1299-1,"")</f>
        <v/>
      </c>
      <c r="C1299">
        <f>IFERROR(NAV!C1300/NAV!C1299-1,"")</f>
        <v/>
      </c>
    </row>
    <row r="1300">
      <c r="A1300">
        <f>NAV!A1301</f>
        <v/>
      </c>
      <c r="B1300">
        <f>IFERROR(NAV!B1301/NAV!B1300-1,"")</f>
        <v/>
      </c>
      <c r="C1300">
        <f>IFERROR(NAV!C1301/NAV!C1300-1,"")</f>
        <v/>
      </c>
    </row>
    <row r="1301">
      <c r="A1301">
        <f>NAV!A1302</f>
        <v/>
      </c>
      <c r="B1301">
        <f>IFERROR(NAV!B1302/NAV!B1301-1,"")</f>
        <v/>
      </c>
      <c r="C1301">
        <f>IFERROR(NAV!C1302/NAV!C1301-1,"")</f>
        <v/>
      </c>
    </row>
    <row r="1302">
      <c r="A1302">
        <f>NAV!A1303</f>
        <v/>
      </c>
      <c r="B1302">
        <f>IFERROR(NAV!B1303/NAV!B1302-1,"")</f>
        <v/>
      </c>
      <c r="C1302">
        <f>IFERROR(NAV!C1303/NAV!C1302-1,"")</f>
        <v/>
      </c>
    </row>
    <row r="1303">
      <c r="A1303">
        <f>NAV!A1304</f>
        <v/>
      </c>
      <c r="B1303">
        <f>IFERROR(NAV!B1304/NAV!B1303-1,"")</f>
        <v/>
      </c>
      <c r="C1303">
        <f>IFERROR(NAV!C1304/NAV!C1303-1,"")</f>
        <v/>
      </c>
    </row>
    <row r="1304">
      <c r="A1304">
        <f>NAV!A1305</f>
        <v/>
      </c>
      <c r="B1304">
        <f>IFERROR(NAV!B1305/NAV!B1304-1,"")</f>
        <v/>
      </c>
      <c r="C1304">
        <f>IFERROR(NAV!C1305/NAV!C1304-1,"")</f>
        <v/>
      </c>
    </row>
    <row r="1305">
      <c r="A1305">
        <f>NAV!A1306</f>
        <v/>
      </c>
      <c r="B1305">
        <f>IFERROR(NAV!B1306/NAV!B1305-1,"")</f>
        <v/>
      </c>
      <c r="C1305">
        <f>IFERROR(NAV!C1306/NAV!C1305-1,"")</f>
        <v/>
      </c>
    </row>
    <row r="1306">
      <c r="A1306">
        <f>NAV!A1307</f>
        <v/>
      </c>
      <c r="B1306">
        <f>IFERROR(NAV!B1307/NAV!B1306-1,"")</f>
        <v/>
      </c>
      <c r="C1306">
        <f>IFERROR(NAV!C1307/NAV!C1306-1,"")</f>
        <v/>
      </c>
    </row>
    <row r="1307">
      <c r="A1307">
        <f>NAV!A1308</f>
        <v/>
      </c>
      <c r="B1307">
        <f>IFERROR(NAV!B1308/NAV!B1307-1,"")</f>
        <v/>
      </c>
      <c r="C1307">
        <f>IFERROR(NAV!C1308/NAV!C1307-1,"")</f>
        <v/>
      </c>
    </row>
    <row r="1308">
      <c r="A1308">
        <f>NAV!A1309</f>
        <v/>
      </c>
      <c r="B1308">
        <f>IFERROR(NAV!B1309/NAV!B1308-1,"")</f>
        <v/>
      </c>
      <c r="C1308">
        <f>IFERROR(NAV!C1309/NAV!C1308-1,"")</f>
        <v/>
      </c>
    </row>
    <row r="1309">
      <c r="A1309">
        <f>NAV!A1310</f>
        <v/>
      </c>
      <c r="B1309">
        <f>IFERROR(NAV!B1310/NAV!B1309-1,"")</f>
        <v/>
      </c>
      <c r="C1309">
        <f>IFERROR(NAV!C1310/NAV!C1309-1,"")</f>
        <v/>
      </c>
    </row>
    <row r="1310">
      <c r="A1310">
        <f>NAV!A1311</f>
        <v/>
      </c>
      <c r="B1310">
        <f>IFERROR(NAV!B1311/NAV!B1310-1,"")</f>
        <v/>
      </c>
      <c r="C1310">
        <f>IFERROR(NAV!C1311/NAV!C1310-1,"")</f>
        <v/>
      </c>
    </row>
    <row r="1311">
      <c r="A1311">
        <f>NAV!A1312</f>
        <v/>
      </c>
      <c r="B1311">
        <f>IFERROR(NAV!B1312/NAV!B1311-1,"")</f>
        <v/>
      </c>
      <c r="C1311">
        <f>IFERROR(NAV!C1312/NAV!C1311-1,"")</f>
        <v/>
      </c>
    </row>
    <row r="1312">
      <c r="A1312">
        <f>NAV!A1313</f>
        <v/>
      </c>
      <c r="B1312">
        <f>IFERROR(NAV!B1313/NAV!B1312-1,"")</f>
        <v/>
      </c>
      <c r="C1312">
        <f>IFERROR(NAV!C1313/NAV!C1312-1,"")</f>
        <v/>
      </c>
    </row>
    <row r="1313">
      <c r="A1313">
        <f>NAV!A1314</f>
        <v/>
      </c>
      <c r="B1313">
        <f>IFERROR(NAV!B1314/NAV!B1313-1,"")</f>
        <v/>
      </c>
      <c r="C1313">
        <f>IFERROR(NAV!C1314/NAV!C1313-1,"")</f>
        <v/>
      </c>
    </row>
    <row r="1314">
      <c r="A1314">
        <f>NAV!A1315</f>
        <v/>
      </c>
      <c r="B1314">
        <f>IFERROR(NAV!B1315/NAV!B1314-1,"")</f>
        <v/>
      </c>
      <c r="C1314">
        <f>IFERROR(NAV!C1315/NAV!C1314-1,"")</f>
        <v/>
      </c>
    </row>
    <row r="1315">
      <c r="A1315">
        <f>NAV!A1316</f>
        <v/>
      </c>
      <c r="B1315">
        <f>IFERROR(NAV!B1316/NAV!B1315-1,"")</f>
        <v/>
      </c>
      <c r="C1315">
        <f>IFERROR(NAV!C1316/NAV!C1315-1,"")</f>
        <v/>
      </c>
    </row>
    <row r="1316">
      <c r="A1316">
        <f>NAV!A1317</f>
        <v/>
      </c>
      <c r="B1316">
        <f>IFERROR(NAV!B1317/NAV!B1316-1,"")</f>
        <v/>
      </c>
      <c r="C1316">
        <f>IFERROR(NAV!C1317/NAV!C1316-1,"")</f>
        <v/>
      </c>
    </row>
    <row r="1317">
      <c r="A1317">
        <f>NAV!A1318</f>
        <v/>
      </c>
      <c r="B1317">
        <f>IFERROR(NAV!B1318/NAV!B1317-1,"")</f>
        <v/>
      </c>
      <c r="C1317">
        <f>IFERROR(NAV!C1318/NAV!C1317-1,"")</f>
        <v/>
      </c>
    </row>
    <row r="1318">
      <c r="A1318">
        <f>NAV!A1319</f>
        <v/>
      </c>
      <c r="B1318">
        <f>IFERROR(NAV!B1319/NAV!B1318-1,"")</f>
        <v/>
      </c>
      <c r="C1318">
        <f>IFERROR(NAV!C1319/NAV!C1318-1,"")</f>
        <v/>
      </c>
    </row>
    <row r="1319">
      <c r="A1319">
        <f>NAV!A1320</f>
        <v/>
      </c>
      <c r="B1319">
        <f>IFERROR(NAV!B1320/NAV!B1319-1,"")</f>
        <v/>
      </c>
      <c r="C1319">
        <f>IFERROR(NAV!C1320/NAV!C1319-1,"")</f>
        <v/>
      </c>
    </row>
    <row r="1320">
      <c r="A1320">
        <f>NAV!A1321</f>
        <v/>
      </c>
      <c r="B1320">
        <f>IFERROR(NAV!B1321/NAV!B1320-1,"")</f>
        <v/>
      </c>
      <c r="C1320">
        <f>IFERROR(NAV!C1321/NAV!C1320-1,"")</f>
        <v/>
      </c>
    </row>
    <row r="1321">
      <c r="A1321">
        <f>NAV!A1322</f>
        <v/>
      </c>
      <c r="B1321">
        <f>IFERROR(NAV!B1322/NAV!B1321-1,"")</f>
        <v/>
      </c>
      <c r="C1321">
        <f>IFERROR(NAV!C1322/NAV!C1321-1,"")</f>
        <v/>
      </c>
    </row>
    <row r="1322">
      <c r="A1322">
        <f>NAV!A1323</f>
        <v/>
      </c>
      <c r="B1322">
        <f>IFERROR(NAV!B1323/NAV!B1322-1,"")</f>
        <v/>
      </c>
      <c r="C1322">
        <f>IFERROR(NAV!C1323/NAV!C1322-1,"")</f>
        <v/>
      </c>
    </row>
    <row r="1323">
      <c r="A1323">
        <f>NAV!A1324</f>
        <v/>
      </c>
      <c r="B1323">
        <f>IFERROR(NAV!B1324/NAV!B1323-1,"")</f>
        <v/>
      </c>
      <c r="C1323">
        <f>IFERROR(NAV!C1324/NAV!C1323-1,"")</f>
        <v/>
      </c>
    </row>
    <row r="1324">
      <c r="A1324">
        <f>NAV!A1325</f>
        <v/>
      </c>
      <c r="B1324">
        <f>IFERROR(NAV!B1325/NAV!B1324-1,"")</f>
        <v/>
      </c>
      <c r="C1324">
        <f>IFERROR(NAV!C1325/NAV!C1324-1,"")</f>
        <v/>
      </c>
    </row>
    <row r="1325">
      <c r="A1325">
        <f>NAV!A1326</f>
        <v/>
      </c>
      <c r="B1325">
        <f>IFERROR(NAV!B1326/NAV!B1325-1,"")</f>
        <v/>
      </c>
      <c r="C1325">
        <f>IFERROR(NAV!C1326/NAV!C1325-1,"")</f>
        <v/>
      </c>
    </row>
    <row r="1326">
      <c r="A1326">
        <f>NAV!A1327</f>
        <v/>
      </c>
      <c r="B1326">
        <f>IFERROR(NAV!B1327/NAV!B1326-1,"")</f>
        <v/>
      </c>
      <c r="C1326">
        <f>IFERROR(NAV!C1327/NAV!C1326-1,"")</f>
        <v/>
      </c>
    </row>
    <row r="1327">
      <c r="A1327">
        <f>NAV!A1328</f>
        <v/>
      </c>
      <c r="B1327">
        <f>IFERROR(NAV!B1328/NAV!B1327-1,"")</f>
        <v/>
      </c>
      <c r="C1327">
        <f>IFERROR(NAV!C1328/NAV!C1327-1,"")</f>
        <v/>
      </c>
    </row>
    <row r="1328">
      <c r="A1328">
        <f>NAV!A1329</f>
        <v/>
      </c>
      <c r="B1328">
        <f>IFERROR(NAV!B1329/NAV!B1328-1,"")</f>
        <v/>
      </c>
      <c r="C1328">
        <f>IFERROR(NAV!C1329/NAV!C1328-1,"")</f>
        <v/>
      </c>
    </row>
    <row r="1329">
      <c r="A1329">
        <f>NAV!A1330</f>
        <v/>
      </c>
      <c r="B1329">
        <f>IFERROR(NAV!B1330/NAV!B1329-1,"")</f>
        <v/>
      </c>
      <c r="C1329">
        <f>IFERROR(NAV!C1330/NAV!C1329-1,"")</f>
        <v/>
      </c>
    </row>
    <row r="1330">
      <c r="A1330">
        <f>NAV!A1331</f>
        <v/>
      </c>
      <c r="B1330">
        <f>IFERROR(NAV!B1331/NAV!B1330-1,"")</f>
        <v/>
      </c>
      <c r="C1330">
        <f>IFERROR(NAV!C1331/NAV!C1330-1,"")</f>
        <v/>
      </c>
    </row>
    <row r="1331">
      <c r="A1331">
        <f>NAV!A1332</f>
        <v/>
      </c>
      <c r="B1331">
        <f>IFERROR(NAV!B1332/NAV!B1331-1,"")</f>
        <v/>
      </c>
      <c r="C1331">
        <f>IFERROR(NAV!C1332/NAV!C1331-1,"")</f>
        <v/>
      </c>
    </row>
    <row r="1332">
      <c r="A1332">
        <f>NAV!A1333</f>
        <v/>
      </c>
      <c r="B1332">
        <f>IFERROR(NAV!B1333/NAV!B1332-1,"")</f>
        <v/>
      </c>
      <c r="C1332">
        <f>IFERROR(NAV!C1333/NAV!C1332-1,"")</f>
        <v/>
      </c>
    </row>
    <row r="1333">
      <c r="A1333">
        <f>NAV!A1334</f>
        <v/>
      </c>
      <c r="B1333">
        <f>IFERROR(NAV!B1334/NAV!B1333-1,"")</f>
        <v/>
      </c>
      <c r="C1333">
        <f>IFERROR(NAV!C1334/NAV!C1333-1,"")</f>
        <v/>
      </c>
    </row>
    <row r="1334">
      <c r="A1334">
        <f>NAV!A1335</f>
        <v/>
      </c>
      <c r="B1334">
        <f>IFERROR(NAV!B1335/NAV!B1334-1,"")</f>
        <v/>
      </c>
      <c r="C1334">
        <f>IFERROR(NAV!C1335/NAV!C1334-1,"")</f>
        <v/>
      </c>
    </row>
    <row r="1335">
      <c r="A1335">
        <f>NAV!A1336</f>
        <v/>
      </c>
      <c r="B1335">
        <f>IFERROR(NAV!B1336/NAV!B1335-1,"")</f>
        <v/>
      </c>
      <c r="C1335">
        <f>IFERROR(NAV!C1336/NAV!C1335-1,"")</f>
        <v/>
      </c>
    </row>
    <row r="1336">
      <c r="A1336">
        <f>NAV!A1337</f>
        <v/>
      </c>
      <c r="B1336">
        <f>IFERROR(NAV!B1337/NAV!B1336-1,"")</f>
        <v/>
      </c>
      <c r="C1336">
        <f>IFERROR(NAV!C1337/NAV!C1336-1,"")</f>
        <v/>
      </c>
    </row>
    <row r="1337">
      <c r="A1337">
        <f>NAV!A1338</f>
        <v/>
      </c>
      <c r="B1337">
        <f>IFERROR(NAV!B1338/NAV!B1337-1,"")</f>
        <v/>
      </c>
      <c r="C1337">
        <f>IFERROR(NAV!C1338/NAV!C1337-1,"")</f>
        <v/>
      </c>
    </row>
    <row r="1338">
      <c r="A1338">
        <f>NAV!A1339</f>
        <v/>
      </c>
      <c r="B1338">
        <f>IFERROR(NAV!B1339/NAV!B1338-1,"")</f>
        <v/>
      </c>
      <c r="C1338">
        <f>IFERROR(NAV!C1339/NAV!C1338-1,"")</f>
        <v/>
      </c>
    </row>
    <row r="1339">
      <c r="A1339">
        <f>NAV!A1340</f>
        <v/>
      </c>
      <c r="B1339">
        <f>IFERROR(NAV!B1340/NAV!B1339-1,"")</f>
        <v/>
      </c>
      <c r="C1339">
        <f>IFERROR(NAV!C1340/NAV!C1339-1,"")</f>
        <v/>
      </c>
    </row>
    <row r="1340">
      <c r="A1340">
        <f>NAV!A1341</f>
        <v/>
      </c>
      <c r="B1340">
        <f>IFERROR(NAV!B1341/NAV!B1340-1,"")</f>
        <v/>
      </c>
      <c r="C1340">
        <f>IFERROR(NAV!C1341/NAV!C1340-1,"")</f>
        <v/>
      </c>
    </row>
    <row r="1341">
      <c r="A1341">
        <f>NAV!A1342</f>
        <v/>
      </c>
      <c r="B1341">
        <f>IFERROR(NAV!B1342/NAV!B1341-1,"")</f>
        <v/>
      </c>
      <c r="C1341">
        <f>IFERROR(NAV!C1342/NAV!C1341-1,"")</f>
        <v/>
      </c>
    </row>
    <row r="1342">
      <c r="A1342">
        <f>NAV!A1343</f>
        <v/>
      </c>
      <c r="B1342">
        <f>IFERROR(NAV!B1343/NAV!B1342-1,"")</f>
        <v/>
      </c>
      <c r="C1342">
        <f>IFERROR(NAV!C1343/NAV!C1342-1,"")</f>
        <v/>
      </c>
    </row>
    <row r="1343">
      <c r="A1343">
        <f>NAV!A1344</f>
        <v/>
      </c>
      <c r="B1343">
        <f>IFERROR(NAV!B1344/NAV!B1343-1,"")</f>
        <v/>
      </c>
      <c r="C1343">
        <f>IFERROR(NAV!C1344/NAV!C1343-1,"")</f>
        <v/>
      </c>
    </row>
    <row r="1344">
      <c r="A1344">
        <f>NAV!A1345</f>
        <v/>
      </c>
      <c r="B1344">
        <f>IFERROR(NAV!B1345/NAV!B1344-1,"")</f>
        <v/>
      </c>
      <c r="C1344">
        <f>IFERROR(NAV!C1345/NAV!C1344-1,"")</f>
        <v/>
      </c>
    </row>
    <row r="1345">
      <c r="A1345">
        <f>NAV!A1346</f>
        <v/>
      </c>
      <c r="B1345">
        <f>IFERROR(NAV!B1346/NAV!B1345-1,"")</f>
        <v/>
      </c>
      <c r="C1345">
        <f>IFERROR(NAV!C1346/NAV!C1345-1,"")</f>
        <v/>
      </c>
    </row>
    <row r="1346">
      <c r="A1346">
        <f>NAV!A1347</f>
        <v/>
      </c>
      <c r="B1346">
        <f>IFERROR(NAV!B1347/NAV!B1346-1,"")</f>
        <v/>
      </c>
      <c r="C1346">
        <f>IFERROR(NAV!C1347/NAV!C1346-1,"")</f>
        <v/>
      </c>
    </row>
    <row r="1347">
      <c r="A1347">
        <f>NAV!A1348</f>
        <v/>
      </c>
      <c r="B1347">
        <f>IFERROR(NAV!B1348/NAV!B1347-1,"")</f>
        <v/>
      </c>
      <c r="C1347">
        <f>IFERROR(NAV!C1348/NAV!C1347-1,"")</f>
        <v/>
      </c>
    </row>
    <row r="1348">
      <c r="A1348">
        <f>NAV!A1349</f>
        <v/>
      </c>
      <c r="B1348">
        <f>IFERROR(NAV!B1349/NAV!B1348-1,"")</f>
        <v/>
      </c>
      <c r="C1348">
        <f>IFERROR(NAV!C1349/NAV!C1348-1,"")</f>
        <v/>
      </c>
    </row>
    <row r="1349">
      <c r="A1349">
        <f>NAV!A1350</f>
        <v/>
      </c>
      <c r="B1349">
        <f>IFERROR(NAV!B1350/NAV!B1349-1,"")</f>
        <v/>
      </c>
      <c r="C1349">
        <f>IFERROR(NAV!C1350/NAV!C1349-1,"")</f>
        <v/>
      </c>
    </row>
    <row r="1350">
      <c r="A1350">
        <f>NAV!A1351</f>
        <v/>
      </c>
      <c r="B1350">
        <f>IFERROR(NAV!B1351/NAV!B1350-1,"")</f>
        <v/>
      </c>
      <c r="C1350">
        <f>IFERROR(NAV!C1351/NAV!C1350-1,"")</f>
        <v/>
      </c>
    </row>
    <row r="1351">
      <c r="A1351">
        <f>NAV!A1352</f>
        <v/>
      </c>
      <c r="B1351">
        <f>IFERROR(NAV!B1352/NAV!B1351-1,"")</f>
        <v/>
      </c>
      <c r="C1351">
        <f>IFERROR(NAV!C1352/NAV!C1351-1,"")</f>
        <v/>
      </c>
    </row>
    <row r="1352">
      <c r="A1352">
        <f>NAV!A1353</f>
        <v/>
      </c>
      <c r="B1352">
        <f>IFERROR(NAV!B1353/NAV!B1352-1,"")</f>
        <v/>
      </c>
      <c r="C1352">
        <f>IFERROR(NAV!C1353/NAV!C1352-1,"")</f>
        <v/>
      </c>
    </row>
    <row r="1353">
      <c r="A1353">
        <f>NAV!A1354</f>
        <v/>
      </c>
      <c r="B1353">
        <f>IFERROR(NAV!B1354/NAV!B1353-1,"")</f>
        <v/>
      </c>
      <c r="C1353">
        <f>IFERROR(NAV!C1354/NAV!C1353-1,"")</f>
        <v/>
      </c>
    </row>
    <row r="1354">
      <c r="A1354">
        <f>NAV!A1355</f>
        <v/>
      </c>
      <c r="B1354">
        <f>IFERROR(NAV!B1355/NAV!B1354-1,"")</f>
        <v/>
      </c>
      <c r="C1354">
        <f>IFERROR(NAV!C1355/NAV!C1354-1,"")</f>
        <v/>
      </c>
    </row>
    <row r="1355">
      <c r="A1355">
        <f>NAV!A1356</f>
        <v/>
      </c>
      <c r="B1355">
        <f>IFERROR(NAV!B1356/NAV!B1355-1,"")</f>
        <v/>
      </c>
      <c r="C1355">
        <f>IFERROR(NAV!C1356/NAV!C1355-1,"")</f>
        <v/>
      </c>
    </row>
    <row r="1356">
      <c r="A1356">
        <f>NAV!A1357</f>
        <v/>
      </c>
      <c r="B1356">
        <f>IFERROR(NAV!B1357/NAV!B1356-1,"")</f>
        <v/>
      </c>
      <c r="C1356">
        <f>IFERROR(NAV!C1357/NAV!C1356-1,"")</f>
        <v/>
      </c>
    </row>
    <row r="1357">
      <c r="A1357">
        <f>NAV!A1358</f>
        <v/>
      </c>
      <c r="B1357">
        <f>IFERROR(NAV!B1358/NAV!B1357-1,"")</f>
        <v/>
      </c>
      <c r="C1357">
        <f>IFERROR(NAV!C1358/NAV!C1357-1,"")</f>
        <v/>
      </c>
    </row>
    <row r="1358">
      <c r="A1358">
        <f>NAV!A1359</f>
        <v/>
      </c>
      <c r="B1358">
        <f>IFERROR(NAV!B1359/NAV!B1358-1,"")</f>
        <v/>
      </c>
      <c r="C1358">
        <f>IFERROR(NAV!C1359/NAV!C1358-1,"")</f>
        <v/>
      </c>
    </row>
    <row r="1359">
      <c r="A1359">
        <f>NAV!A1360</f>
        <v/>
      </c>
      <c r="B1359">
        <f>IFERROR(NAV!B1360/NAV!B1359-1,"")</f>
        <v/>
      </c>
      <c r="C1359">
        <f>IFERROR(NAV!C1360/NAV!C1359-1,"")</f>
        <v/>
      </c>
    </row>
    <row r="1360">
      <c r="A1360">
        <f>NAV!A1361</f>
        <v/>
      </c>
      <c r="B1360">
        <f>IFERROR(NAV!B1361/NAV!B1360-1,"")</f>
        <v/>
      </c>
      <c r="C1360">
        <f>IFERROR(NAV!C1361/NAV!C1360-1,"")</f>
        <v/>
      </c>
    </row>
    <row r="1361">
      <c r="A1361">
        <f>NAV!A1362</f>
        <v/>
      </c>
      <c r="B1361">
        <f>IFERROR(NAV!B1362/NAV!B1361-1,"")</f>
        <v/>
      </c>
      <c r="C1361">
        <f>IFERROR(NAV!C1362/NAV!C1361-1,"")</f>
        <v/>
      </c>
    </row>
    <row r="1362">
      <c r="A1362">
        <f>NAV!A1363</f>
        <v/>
      </c>
      <c r="B1362">
        <f>IFERROR(NAV!B1363/NAV!B1362-1,"")</f>
        <v/>
      </c>
      <c r="C1362">
        <f>IFERROR(NAV!C1363/NAV!C1362-1,"")</f>
        <v/>
      </c>
    </row>
    <row r="1363">
      <c r="A1363">
        <f>NAV!A1364</f>
        <v/>
      </c>
      <c r="B1363">
        <f>IFERROR(NAV!B1364/NAV!B1363-1,"")</f>
        <v/>
      </c>
      <c r="C1363">
        <f>IFERROR(NAV!C1364/NAV!C1363-1,"")</f>
        <v/>
      </c>
    </row>
    <row r="1364">
      <c r="A1364">
        <f>NAV!A1365</f>
        <v/>
      </c>
      <c r="B1364">
        <f>IFERROR(NAV!B1365/NAV!B1364-1,"")</f>
        <v/>
      </c>
      <c r="C1364">
        <f>IFERROR(NAV!C1365/NAV!C1364-1,"")</f>
        <v/>
      </c>
    </row>
    <row r="1365">
      <c r="A1365">
        <f>NAV!A1366</f>
        <v/>
      </c>
      <c r="B1365">
        <f>IFERROR(NAV!B1366/NAV!B1365-1,"")</f>
        <v/>
      </c>
      <c r="C1365">
        <f>IFERROR(NAV!C1366/NAV!C1365-1,"")</f>
        <v/>
      </c>
    </row>
    <row r="1366">
      <c r="A1366">
        <f>NAV!A1367</f>
        <v/>
      </c>
      <c r="B1366">
        <f>IFERROR(NAV!B1367/NAV!B1366-1,"")</f>
        <v/>
      </c>
      <c r="C1366">
        <f>IFERROR(NAV!C1367/NAV!C1366-1,"")</f>
        <v/>
      </c>
    </row>
    <row r="1367">
      <c r="A1367">
        <f>NAV!A1368</f>
        <v/>
      </c>
      <c r="B1367">
        <f>IFERROR(NAV!B1368/NAV!B1367-1,"")</f>
        <v/>
      </c>
      <c r="C1367">
        <f>IFERROR(NAV!C1368/NAV!C1367-1,"")</f>
        <v/>
      </c>
    </row>
    <row r="1368">
      <c r="A1368">
        <f>NAV!A1369</f>
        <v/>
      </c>
      <c r="B1368">
        <f>IFERROR(NAV!B1369/NAV!B1368-1,"")</f>
        <v/>
      </c>
      <c r="C1368">
        <f>IFERROR(NAV!C1369/NAV!C1368-1,"")</f>
        <v/>
      </c>
    </row>
    <row r="1369">
      <c r="A1369">
        <f>NAV!A1370</f>
        <v/>
      </c>
      <c r="B1369">
        <f>IFERROR(NAV!B1370/NAV!B1369-1,"")</f>
        <v/>
      </c>
      <c r="C1369">
        <f>IFERROR(NAV!C1370/NAV!C1369-1,"")</f>
        <v/>
      </c>
    </row>
    <row r="1370">
      <c r="A1370">
        <f>NAV!A1371</f>
        <v/>
      </c>
      <c r="B1370">
        <f>IFERROR(NAV!B1371/NAV!B1370-1,"")</f>
        <v/>
      </c>
      <c r="C1370">
        <f>IFERROR(NAV!C1371/NAV!C1370-1,"")</f>
        <v/>
      </c>
    </row>
    <row r="1371">
      <c r="A1371">
        <f>NAV!A1372</f>
        <v/>
      </c>
      <c r="B1371">
        <f>IFERROR(NAV!B1372/NAV!B1371-1,"")</f>
        <v/>
      </c>
      <c r="C1371">
        <f>IFERROR(NAV!C1372/NAV!C1371-1,"")</f>
        <v/>
      </c>
    </row>
    <row r="1372">
      <c r="A1372">
        <f>NAV!A1373</f>
        <v/>
      </c>
      <c r="B1372">
        <f>IFERROR(NAV!B1373/NAV!B1372-1,"")</f>
        <v/>
      </c>
      <c r="C1372">
        <f>IFERROR(NAV!C1373/NAV!C1372-1,"")</f>
        <v/>
      </c>
    </row>
    <row r="1373">
      <c r="A1373">
        <f>NAV!A1374</f>
        <v/>
      </c>
      <c r="B1373">
        <f>IFERROR(NAV!B1374/NAV!B1373-1,"")</f>
        <v/>
      </c>
      <c r="C1373">
        <f>IFERROR(NAV!C1374/NAV!C1373-1,"")</f>
        <v/>
      </c>
    </row>
    <row r="1374">
      <c r="A1374">
        <f>NAV!A1375</f>
        <v/>
      </c>
      <c r="B1374">
        <f>IFERROR(NAV!B1375/NAV!B1374-1,"")</f>
        <v/>
      </c>
      <c r="C1374">
        <f>IFERROR(NAV!C1375/NAV!C1374-1,"")</f>
        <v/>
      </c>
    </row>
    <row r="1375">
      <c r="A1375">
        <f>NAV!A1376</f>
        <v/>
      </c>
      <c r="B1375">
        <f>IFERROR(NAV!B1376/NAV!B1375-1,"")</f>
        <v/>
      </c>
      <c r="C1375">
        <f>IFERROR(NAV!C1376/NAV!C1375-1,"")</f>
        <v/>
      </c>
    </row>
    <row r="1376">
      <c r="A1376">
        <f>NAV!A1377</f>
        <v/>
      </c>
      <c r="B1376">
        <f>IFERROR(NAV!B1377/NAV!B1376-1,"")</f>
        <v/>
      </c>
      <c r="C1376">
        <f>IFERROR(NAV!C1377/NAV!C1376-1,"")</f>
        <v/>
      </c>
    </row>
    <row r="1377">
      <c r="A1377">
        <f>NAV!A1378</f>
        <v/>
      </c>
      <c r="B1377">
        <f>IFERROR(NAV!B1378/NAV!B1377-1,"")</f>
        <v/>
      </c>
      <c r="C1377">
        <f>IFERROR(NAV!C1378/NAV!C1377-1,"")</f>
        <v/>
      </c>
    </row>
    <row r="1378">
      <c r="A1378">
        <f>NAV!A1379</f>
        <v/>
      </c>
      <c r="B1378">
        <f>IFERROR(NAV!B1379/NAV!B1378-1,"")</f>
        <v/>
      </c>
      <c r="C1378">
        <f>IFERROR(NAV!C1379/NAV!C1378-1,"")</f>
        <v/>
      </c>
    </row>
    <row r="1379">
      <c r="A1379">
        <f>NAV!A1380</f>
        <v/>
      </c>
      <c r="B1379">
        <f>IFERROR(NAV!B1380/NAV!B1379-1,"")</f>
        <v/>
      </c>
      <c r="C1379">
        <f>IFERROR(NAV!C1380/NAV!C1379-1,"")</f>
        <v/>
      </c>
    </row>
    <row r="1380">
      <c r="A1380">
        <f>NAV!A1381</f>
        <v/>
      </c>
      <c r="B1380">
        <f>IFERROR(NAV!B1381/NAV!B1380-1,"")</f>
        <v/>
      </c>
      <c r="C1380">
        <f>IFERROR(NAV!C1381/NAV!C1380-1,"")</f>
        <v/>
      </c>
    </row>
    <row r="1381">
      <c r="A1381">
        <f>NAV!A1382</f>
        <v/>
      </c>
      <c r="B1381">
        <f>IFERROR(NAV!B1382/NAV!B1381-1,"")</f>
        <v/>
      </c>
      <c r="C1381">
        <f>IFERROR(NAV!C1382/NAV!C1381-1,"")</f>
        <v/>
      </c>
    </row>
    <row r="1382">
      <c r="A1382">
        <f>NAV!A1383</f>
        <v/>
      </c>
      <c r="B1382">
        <f>IFERROR(NAV!B1383/NAV!B1382-1,"")</f>
        <v/>
      </c>
      <c r="C1382">
        <f>IFERROR(NAV!C1383/NAV!C1382-1,"")</f>
        <v/>
      </c>
    </row>
    <row r="1383">
      <c r="A1383">
        <f>NAV!A1384</f>
        <v/>
      </c>
      <c r="B1383">
        <f>IFERROR(NAV!B1384/NAV!B1383-1,"")</f>
        <v/>
      </c>
      <c r="C1383">
        <f>IFERROR(NAV!C1384/NAV!C1383-1,"")</f>
        <v/>
      </c>
    </row>
    <row r="1384">
      <c r="A1384">
        <f>NAV!A1385</f>
        <v/>
      </c>
      <c r="B1384">
        <f>IFERROR(NAV!B1385/NAV!B1384-1,"")</f>
        <v/>
      </c>
      <c r="C1384">
        <f>IFERROR(NAV!C1385/NAV!C1384-1,"")</f>
        <v/>
      </c>
    </row>
    <row r="1385">
      <c r="A1385">
        <f>NAV!A1386</f>
        <v/>
      </c>
      <c r="B1385">
        <f>IFERROR(NAV!B1386/NAV!B1385-1,"")</f>
        <v/>
      </c>
      <c r="C1385">
        <f>IFERROR(NAV!C1386/NAV!C1385-1,"")</f>
        <v/>
      </c>
    </row>
    <row r="1386">
      <c r="A1386">
        <f>NAV!A1387</f>
        <v/>
      </c>
      <c r="B1386">
        <f>IFERROR(NAV!B1387/NAV!B1386-1,"")</f>
        <v/>
      </c>
      <c r="C1386">
        <f>IFERROR(NAV!C1387/NAV!C1386-1,"")</f>
        <v/>
      </c>
    </row>
    <row r="1387">
      <c r="A1387">
        <f>NAV!A1388</f>
        <v/>
      </c>
      <c r="B1387">
        <f>IFERROR(NAV!B1388/NAV!B1387-1,"")</f>
        <v/>
      </c>
      <c r="C1387">
        <f>IFERROR(NAV!C1388/NAV!C1387-1,"")</f>
        <v/>
      </c>
    </row>
    <row r="1388">
      <c r="A1388">
        <f>NAV!A1389</f>
        <v/>
      </c>
      <c r="B1388">
        <f>IFERROR(NAV!B1389/NAV!B1388-1,"")</f>
        <v/>
      </c>
      <c r="C1388">
        <f>IFERROR(NAV!C1389/NAV!C1388-1,"")</f>
        <v/>
      </c>
    </row>
    <row r="1389">
      <c r="A1389">
        <f>NAV!A1390</f>
        <v/>
      </c>
      <c r="B1389">
        <f>IFERROR(NAV!B1390/NAV!B1389-1,"")</f>
        <v/>
      </c>
      <c r="C1389">
        <f>IFERROR(NAV!C1390/NAV!C1389-1,"")</f>
        <v/>
      </c>
    </row>
    <row r="1390">
      <c r="A1390">
        <f>NAV!A1391</f>
        <v/>
      </c>
      <c r="B1390">
        <f>IFERROR(NAV!B1391/NAV!B1390-1,"")</f>
        <v/>
      </c>
      <c r="C1390">
        <f>IFERROR(NAV!C1391/NAV!C1390-1,"")</f>
        <v/>
      </c>
    </row>
    <row r="1391">
      <c r="A1391">
        <f>NAV!A1392</f>
        <v/>
      </c>
      <c r="B1391">
        <f>IFERROR(NAV!B1392/NAV!B1391-1,"")</f>
        <v/>
      </c>
      <c r="C1391">
        <f>IFERROR(NAV!C1392/NAV!C1391-1,"")</f>
        <v/>
      </c>
    </row>
    <row r="1392">
      <c r="A1392">
        <f>NAV!A1393</f>
        <v/>
      </c>
      <c r="B1392">
        <f>IFERROR(NAV!B1393/NAV!B1392-1,"")</f>
        <v/>
      </c>
      <c r="C1392">
        <f>IFERROR(NAV!C1393/NAV!C1392-1,"")</f>
        <v/>
      </c>
    </row>
    <row r="1393">
      <c r="A1393">
        <f>NAV!A1394</f>
        <v/>
      </c>
      <c r="B1393">
        <f>IFERROR(NAV!B1394/NAV!B1393-1,"")</f>
        <v/>
      </c>
      <c r="C1393">
        <f>IFERROR(NAV!C1394/NAV!C1393-1,"")</f>
        <v/>
      </c>
    </row>
    <row r="1394">
      <c r="A1394">
        <f>NAV!A1395</f>
        <v/>
      </c>
      <c r="B1394">
        <f>IFERROR(NAV!B1395/NAV!B1394-1,"")</f>
        <v/>
      </c>
      <c r="C1394">
        <f>IFERROR(NAV!C1395/NAV!C1394-1,"")</f>
        <v/>
      </c>
    </row>
    <row r="1395">
      <c r="A1395">
        <f>NAV!A1396</f>
        <v/>
      </c>
      <c r="B1395">
        <f>IFERROR(NAV!B1396/NAV!B1395-1,"")</f>
        <v/>
      </c>
      <c r="C1395">
        <f>IFERROR(NAV!C1396/NAV!C1395-1,"")</f>
        <v/>
      </c>
    </row>
    <row r="1396">
      <c r="A1396">
        <f>NAV!A1397</f>
        <v/>
      </c>
      <c r="B1396">
        <f>IFERROR(NAV!B1397/NAV!B1396-1,"")</f>
        <v/>
      </c>
      <c r="C1396">
        <f>IFERROR(NAV!C1397/NAV!C1396-1,"")</f>
        <v/>
      </c>
    </row>
    <row r="1397">
      <c r="A1397">
        <f>NAV!A1398</f>
        <v/>
      </c>
      <c r="B1397">
        <f>IFERROR(NAV!B1398/NAV!B1397-1,"")</f>
        <v/>
      </c>
      <c r="C1397">
        <f>IFERROR(NAV!C1398/NAV!C1397-1,"")</f>
        <v/>
      </c>
    </row>
    <row r="1398">
      <c r="A1398">
        <f>NAV!A1399</f>
        <v/>
      </c>
      <c r="B1398">
        <f>IFERROR(NAV!B1399/NAV!B1398-1,"")</f>
        <v/>
      </c>
      <c r="C1398">
        <f>IFERROR(NAV!C1399/NAV!C1398-1,"")</f>
        <v/>
      </c>
    </row>
    <row r="1399">
      <c r="A1399">
        <f>NAV!A1400</f>
        <v/>
      </c>
      <c r="B1399">
        <f>IFERROR(NAV!B1400/NAV!B1399-1,"")</f>
        <v/>
      </c>
      <c r="C1399">
        <f>IFERROR(NAV!C1400/NAV!C1399-1,"")</f>
        <v/>
      </c>
    </row>
    <row r="1400">
      <c r="A1400">
        <f>NAV!A1401</f>
        <v/>
      </c>
      <c r="B1400">
        <f>IFERROR(NAV!B1401/NAV!B1400-1,"")</f>
        <v/>
      </c>
      <c r="C1400">
        <f>IFERROR(NAV!C1401/NAV!C1400-1,"")</f>
        <v/>
      </c>
    </row>
    <row r="1401">
      <c r="A1401">
        <f>NAV!A1402</f>
        <v/>
      </c>
      <c r="B1401">
        <f>IFERROR(NAV!B1402/NAV!B1401-1,"")</f>
        <v/>
      </c>
      <c r="C1401">
        <f>IFERROR(NAV!C1402/NAV!C1401-1,"")</f>
        <v/>
      </c>
    </row>
    <row r="1402">
      <c r="A1402">
        <f>NAV!A1403</f>
        <v/>
      </c>
      <c r="B1402">
        <f>IFERROR(NAV!B1403/NAV!B1402-1,"")</f>
        <v/>
      </c>
      <c r="C1402">
        <f>IFERROR(NAV!C1403/NAV!C1402-1,"")</f>
        <v/>
      </c>
    </row>
    <row r="1403">
      <c r="A1403">
        <f>NAV!A1404</f>
        <v/>
      </c>
      <c r="B1403">
        <f>IFERROR(NAV!B1404/NAV!B1403-1,"")</f>
        <v/>
      </c>
      <c r="C1403">
        <f>IFERROR(NAV!C1404/NAV!C1403-1,"")</f>
        <v/>
      </c>
    </row>
    <row r="1404">
      <c r="A1404">
        <f>NAV!A1405</f>
        <v/>
      </c>
      <c r="B1404">
        <f>IFERROR(NAV!B1405/NAV!B1404-1,"")</f>
        <v/>
      </c>
      <c r="C1404">
        <f>IFERROR(NAV!C1405/NAV!C1404-1,"")</f>
        <v/>
      </c>
    </row>
    <row r="1405">
      <c r="A1405">
        <f>NAV!A1406</f>
        <v/>
      </c>
      <c r="B1405">
        <f>IFERROR(NAV!B1406/NAV!B1405-1,"")</f>
        <v/>
      </c>
      <c r="C1405">
        <f>IFERROR(NAV!C1406/NAV!C1405-1,"")</f>
        <v/>
      </c>
    </row>
    <row r="1406">
      <c r="A1406">
        <f>NAV!A1407</f>
        <v/>
      </c>
      <c r="B1406">
        <f>IFERROR(NAV!B1407/NAV!B1406-1,"")</f>
        <v/>
      </c>
      <c r="C1406">
        <f>IFERROR(NAV!C1407/NAV!C1406-1,"")</f>
        <v/>
      </c>
    </row>
    <row r="1407">
      <c r="A1407">
        <f>NAV!A1408</f>
        <v/>
      </c>
      <c r="B1407">
        <f>IFERROR(NAV!B1408/NAV!B1407-1,"")</f>
        <v/>
      </c>
      <c r="C1407">
        <f>IFERROR(NAV!C1408/NAV!C1407-1,"")</f>
        <v/>
      </c>
    </row>
    <row r="1408">
      <c r="A1408">
        <f>NAV!A1409</f>
        <v/>
      </c>
      <c r="B1408">
        <f>IFERROR(NAV!B1409/NAV!B1408-1,"")</f>
        <v/>
      </c>
      <c r="C1408">
        <f>IFERROR(NAV!C1409/NAV!C1408-1,"")</f>
        <v/>
      </c>
    </row>
    <row r="1409">
      <c r="A1409">
        <f>NAV!A1410</f>
        <v/>
      </c>
      <c r="B1409">
        <f>IFERROR(NAV!B1410/NAV!B1409-1,"")</f>
        <v/>
      </c>
      <c r="C1409">
        <f>IFERROR(NAV!C1410/NAV!C1409-1,"")</f>
        <v/>
      </c>
    </row>
    <row r="1410">
      <c r="A1410">
        <f>NAV!A1411</f>
        <v/>
      </c>
      <c r="B1410">
        <f>IFERROR(NAV!B1411/NAV!B1410-1,"")</f>
        <v/>
      </c>
      <c r="C1410">
        <f>IFERROR(NAV!C1411/NAV!C1410-1,"")</f>
        <v/>
      </c>
    </row>
    <row r="1411">
      <c r="A1411">
        <f>NAV!A1412</f>
        <v/>
      </c>
      <c r="B1411">
        <f>IFERROR(NAV!B1412/NAV!B1411-1,"")</f>
        <v/>
      </c>
      <c r="C1411">
        <f>IFERROR(NAV!C1412/NAV!C1411-1,"")</f>
        <v/>
      </c>
    </row>
    <row r="1412">
      <c r="A1412">
        <f>NAV!A1413</f>
        <v/>
      </c>
      <c r="B1412">
        <f>IFERROR(NAV!B1413/NAV!B1412-1,"")</f>
        <v/>
      </c>
      <c r="C1412">
        <f>IFERROR(NAV!C1413/NAV!C1412-1,"")</f>
        <v/>
      </c>
    </row>
    <row r="1413">
      <c r="A1413">
        <f>NAV!A1414</f>
        <v/>
      </c>
      <c r="B1413">
        <f>IFERROR(NAV!B1414/NAV!B1413-1,"")</f>
        <v/>
      </c>
      <c r="C1413">
        <f>IFERROR(NAV!C1414/NAV!C1413-1,"")</f>
        <v/>
      </c>
    </row>
    <row r="1414">
      <c r="A1414">
        <f>NAV!A1415</f>
        <v/>
      </c>
      <c r="B1414">
        <f>IFERROR(NAV!B1415/NAV!B1414-1,"")</f>
        <v/>
      </c>
      <c r="C1414">
        <f>IFERROR(NAV!C1415/NAV!C1414-1,"")</f>
        <v/>
      </c>
    </row>
    <row r="1415">
      <c r="A1415">
        <f>NAV!A1416</f>
        <v/>
      </c>
      <c r="B1415">
        <f>IFERROR(NAV!B1416/NAV!B1415-1,"")</f>
        <v/>
      </c>
      <c r="C1415">
        <f>IFERROR(NAV!C1416/NAV!C1415-1,"")</f>
        <v/>
      </c>
    </row>
    <row r="1416">
      <c r="A1416">
        <f>NAV!A1417</f>
        <v/>
      </c>
      <c r="B1416">
        <f>IFERROR(NAV!B1417/NAV!B1416-1,"")</f>
        <v/>
      </c>
      <c r="C1416">
        <f>IFERROR(NAV!C1417/NAV!C1416-1,"")</f>
        <v/>
      </c>
    </row>
    <row r="1417">
      <c r="A1417">
        <f>NAV!A1418</f>
        <v/>
      </c>
      <c r="B1417">
        <f>IFERROR(NAV!B1418/NAV!B1417-1,"")</f>
        <v/>
      </c>
      <c r="C1417">
        <f>IFERROR(NAV!C1418/NAV!C1417-1,"")</f>
        <v/>
      </c>
    </row>
    <row r="1418">
      <c r="A1418">
        <f>NAV!A1419</f>
        <v/>
      </c>
      <c r="B1418">
        <f>IFERROR(NAV!B1419/NAV!B1418-1,"")</f>
        <v/>
      </c>
      <c r="C1418">
        <f>IFERROR(NAV!C1419/NAV!C1418-1,"")</f>
        <v/>
      </c>
    </row>
    <row r="1419">
      <c r="A1419">
        <f>NAV!A1420</f>
        <v/>
      </c>
      <c r="B1419">
        <f>IFERROR(NAV!B1420/NAV!B1419-1,"")</f>
        <v/>
      </c>
      <c r="C1419">
        <f>IFERROR(NAV!C1420/NAV!C1419-1,"")</f>
        <v/>
      </c>
    </row>
    <row r="1420">
      <c r="A1420">
        <f>NAV!A1421</f>
        <v/>
      </c>
      <c r="B1420">
        <f>IFERROR(NAV!B1421/NAV!B1420-1,"")</f>
        <v/>
      </c>
      <c r="C1420">
        <f>IFERROR(NAV!C1421/NAV!C1420-1,"")</f>
        <v/>
      </c>
    </row>
    <row r="1421">
      <c r="A1421">
        <f>NAV!A1422</f>
        <v/>
      </c>
      <c r="B1421">
        <f>IFERROR(NAV!B1422/NAV!B1421-1,"")</f>
        <v/>
      </c>
      <c r="C1421">
        <f>IFERROR(NAV!C1422/NAV!C1421-1,"")</f>
        <v/>
      </c>
    </row>
    <row r="1422">
      <c r="A1422">
        <f>NAV!A1423</f>
        <v/>
      </c>
      <c r="B1422">
        <f>IFERROR(NAV!B1423/NAV!B1422-1,"")</f>
        <v/>
      </c>
      <c r="C1422">
        <f>IFERROR(NAV!C1423/NAV!C1422-1,"")</f>
        <v/>
      </c>
    </row>
    <row r="1423">
      <c r="A1423">
        <f>NAV!A1424</f>
        <v/>
      </c>
      <c r="B1423">
        <f>IFERROR(NAV!B1424/NAV!B1423-1,"")</f>
        <v/>
      </c>
      <c r="C1423">
        <f>IFERROR(NAV!C1424/NAV!C1423-1,"")</f>
        <v/>
      </c>
    </row>
    <row r="1424">
      <c r="A1424">
        <f>NAV!A1425</f>
        <v/>
      </c>
      <c r="B1424">
        <f>IFERROR(NAV!B1425/NAV!B1424-1,"")</f>
        <v/>
      </c>
      <c r="C1424">
        <f>IFERROR(NAV!C1425/NAV!C1424-1,"")</f>
        <v/>
      </c>
    </row>
    <row r="1425">
      <c r="A1425">
        <f>NAV!A1426</f>
        <v/>
      </c>
      <c r="B1425">
        <f>IFERROR(NAV!B1426/NAV!B1425-1,"")</f>
        <v/>
      </c>
      <c r="C1425">
        <f>IFERROR(NAV!C1426/NAV!C1425-1,"")</f>
        <v/>
      </c>
    </row>
    <row r="1426">
      <c r="A1426">
        <f>NAV!A1427</f>
        <v/>
      </c>
      <c r="B1426">
        <f>IFERROR(NAV!B1427/NAV!B1426-1,"")</f>
        <v/>
      </c>
      <c r="C1426">
        <f>IFERROR(NAV!C1427/NAV!C1426-1,"")</f>
        <v/>
      </c>
    </row>
    <row r="1427">
      <c r="A1427">
        <f>NAV!A1428</f>
        <v/>
      </c>
      <c r="B1427">
        <f>IFERROR(NAV!B1428/NAV!B1427-1,"")</f>
        <v/>
      </c>
      <c r="C1427">
        <f>IFERROR(NAV!C1428/NAV!C1427-1,"")</f>
        <v/>
      </c>
    </row>
    <row r="1428">
      <c r="A1428">
        <f>NAV!A1429</f>
        <v/>
      </c>
      <c r="B1428">
        <f>IFERROR(NAV!B1429/NAV!B1428-1,"")</f>
        <v/>
      </c>
      <c r="C1428">
        <f>IFERROR(NAV!C1429/NAV!C1428-1,"")</f>
        <v/>
      </c>
    </row>
    <row r="1429">
      <c r="A1429">
        <f>NAV!A1430</f>
        <v/>
      </c>
      <c r="B1429">
        <f>IFERROR(NAV!B1430/NAV!B1429-1,"")</f>
        <v/>
      </c>
      <c r="C1429">
        <f>IFERROR(NAV!C1430/NAV!C1429-1,"")</f>
        <v/>
      </c>
    </row>
    <row r="1430">
      <c r="A1430">
        <f>NAV!A1431</f>
        <v/>
      </c>
      <c r="B1430">
        <f>IFERROR(NAV!B1431/NAV!B1430-1,"")</f>
        <v/>
      </c>
      <c r="C1430">
        <f>IFERROR(NAV!C1431/NAV!C1430-1,"")</f>
        <v/>
      </c>
    </row>
    <row r="1431">
      <c r="A1431">
        <f>NAV!A1432</f>
        <v/>
      </c>
      <c r="B1431">
        <f>IFERROR(NAV!B1432/NAV!B1431-1,"")</f>
        <v/>
      </c>
      <c r="C1431">
        <f>IFERROR(NAV!C1432/NAV!C1431-1,"")</f>
        <v/>
      </c>
    </row>
    <row r="1432">
      <c r="A1432">
        <f>NAV!A1433</f>
        <v/>
      </c>
      <c r="B1432">
        <f>IFERROR(NAV!B1433/NAV!B1432-1,"")</f>
        <v/>
      </c>
      <c r="C1432">
        <f>IFERROR(NAV!C1433/NAV!C1432-1,"")</f>
        <v/>
      </c>
    </row>
    <row r="1433">
      <c r="A1433">
        <f>NAV!A1434</f>
        <v/>
      </c>
      <c r="B1433">
        <f>IFERROR(NAV!B1434/NAV!B1433-1,"")</f>
        <v/>
      </c>
      <c r="C1433">
        <f>IFERROR(NAV!C1434/NAV!C1433-1,"")</f>
        <v/>
      </c>
    </row>
    <row r="1434">
      <c r="A1434">
        <f>NAV!A1435</f>
        <v/>
      </c>
      <c r="B1434">
        <f>IFERROR(NAV!B1435/NAV!B1434-1,"")</f>
        <v/>
      </c>
      <c r="C1434">
        <f>IFERROR(NAV!C1435/NAV!C1434-1,"")</f>
        <v/>
      </c>
    </row>
    <row r="1435">
      <c r="A1435">
        <f>NAV!A1436</f>
        <v/>
      </c>
      <c r="B1435">
        <f>IFERROR(NAV!B1436/NAV!B1435-1,"")</f>
        <v/>
      </c>
      <c r="C1435">
        <f>IFERROR(NAV!C1436/NAV!C1435-1,"")</f>
        <v/>
      </c>
    </row>
    <row r="1436">
      <c r="A1436">
        <f>NAV!A1437</f>
        <v/>
      </c>
      <c r="B1436">
        <f>IFERROR(NAV!B1437/NAV!B1436-1,"")</f>
        <v/>
      </c>
      <c r="C1436">
        <f>IFERROR(NAV!C1437/NAV!C1436-1,"")</f>
        <v/>
      </c>
    </row>
    <row r="1437">
      <c r="A1437">
        <f>NAV!A1438</f>
        <v/>
      </c>
      <c r="B1437">
        <f>IFERROR(NAV!B1438/NAV!B1437-1,"")</f>
        <v/>
      </c>
      <c r="C1437">
        <f>IFERROR(NAV!C1438/NAV!C1437-1,"")</f>
        <v/>
      </c>
    </row>
    <row r="1438">
      <c r="A1438">
        <f>NAV!A1439</f>
        <v/>
      </c>
      <c r="B1438">
        <f>IFERROR(NAV!B1439/NAV!B1438-1,"")</f>
        <v/>
      </c>
      <c r="C1438">
        <f>IFERROR(NAV!C1439/NAV!C1438-1,"")</f>
        <v/>
      </c>
    </row>
    <row r="1439">
      <c r="A1439">
        <f>NAV!A1440</f>
        <v/>
      </c>
      <c r="B1439">
        <f>IFERROR(NAV!B1440/NAV!B1439-1,"")</f>
        <v/>
      </c>
      <c r="C1439">
        <f>IFERROR(NAV!C1440/NAV!C1439-1,"")</f>
        <v/>
      </c>
    </row>
    <row r="1440">
      <c r="A1440">
        <f>NAV!A1441</f>
        <v/>
      </c>
      <c r="B1440">
        <f>IFERROR(NAV!B1441/NAV!B1440-1,"")</f>
        <v/>
      </c>
      <c r="C1440">
        <f>IFERROR(NAV!C1441/NAV!C1440-1,"")</f>
        <v/>
      </c>
    </row>
    <row r="1441">
      <c r="A1441">
        <f>NAV!A1442</f>
        <v/>
      </c>
      <c r="B1441">
        <f>IFERROR(NAV!B1442/NAV!B1441-1,"")</f>
        <v/>
      </c>
      <c r="C1441">
        <f>IFERROR(NAV!C1442/NAV!C1441-1,"")</f>
        <v/>
      </c>
    </row>
    <row r="1442">
      <c r="A1442">
        <f>NAV!A1443</f>
        <v/>
      </c>
      <c r="B1442">
        <f>IFERROR(NAV!B1443/NAV!B1442-1,"")</f>
        <v/>
      </c>
      <c r="C1442">
        <f>IFERROR(NAV!C1443/NAV!C1442-1,"")</f>
        <v/>
      </c>
    </row>
    <row r="1443">
      <c r="A1443">
        <f>NAV!A1444</f>
        <v/>
      </c>
      <c r="B1443">
        <f>IFERROR(NAV!B1444/NAV!B1443-1,"")</f>
        <v/>
      </c>
      <c r="C1443">
        <f>IFERROR(NAV!C1444/NAV!C1443-1,"")</f>
        <v/>
      </c>
    </row>
    <row r="1444">
      <c r="A1444">
        <f>NAV!A1445</f>
        <v/>
      </c>
      <c r="B1444">
        <f>IFERROR(NAV!B1445/NAV!B1444-1,"")</f>
        <v/>
      </c>
      <c r="C1444">
        <f>IFERROR(NAV!C1445/NAV!C1444-1,"")</f>
        <v/>
      </c>
    </row>
    <row r="1445">
      <c r="A1445">
        <f>NAV!A1446</f>
        <v/>
      </c>
      <c r="B1445">
        <f>IFERROR(NAV!B1446/NAV!B1445-1,"")</f>
        <v/>
      </c>
      <c r="C1445">
        <f>IFERROR(NAV!C1446/NAV!C1445-1,"")</f>
        <v/>
      </c>
    </row>
    <row r="1446">
      <c r="A1446">
        <f>NAV!A1447</f>
        <v/>
      </c>
      <c r="B1446">
        <f>IFERROR(NAV!B1447/NAV!B1446-1,"")</f>
        <v/>
      </c>
      <c r="C1446">
        <f>IFERROR(NAV!C1447/NAV!C1446-1,"")</f>
        <v/>
      </c>
    </row>
    <row r="1447">
      <c r="A1447">
        <f>NAV!A1448</f>
        <v/>
      </c>
      <c r="B1447">
        <f>IFERROR(NAV!B1448/NAV!B1447-1,"")</f>
        <v/>
      </c>
      <c r="C1447">
        <f>IFERROR(NAV!C1448/NAV!C1447-1,"")</f>
        <v/>
      </c>
    </row>
    <row r="1448">
      <c r="A1448">
        <f>NAV!A1449</f>
        <v/>
      </c>
      <c r="B1448">
        <f>IFERROR(NAV!B1449/NAV!B1448-1,"")</f>
        <v/>
      </c>
      <c r="C1448">
        <f>IFERROR(NAV!C1449/NAV!C1448-1,"")</f>
        <v/>
      </c>
    </row>
    <row r="1449">
      <c r="A1449">
        <f>NAV!A1450</f>
        <v/>
      </c>
      <c r="B1449">
        <f>IFERROR(NAV!B1450/NAV!B1449-1,"")</f>
        <v/>
      </c>
      <c r="C1449">
        <f>IFERROR(NAV!C1450/NAV!C1449-1,"")</f>
        <v/>
      </c>
    </row>
    <row r="1450">
      <c r="A1450">
        <f>NAV!A1451</f>
        <v/>
      </c>
      <c r="B1450">
        <f>IFERROR(NAV!B1451/NAV!B1450-1,"")</f>
        <v/>
      </c>
      <c r="C1450">
        <f>IFERROR(NAV!C1451/NAV!C1450-1,"")</f>
        <v/>
      </c>
    </row>
    <row r="1451">
      <c r="A1451">
        <f>NAV!A1452</f>
        <v/>
      </c>
      <c r="B1451">
        <f>IFERROR(NAV!B1452/NAV!B1451-1,"")</f>
        <v/>
      </c>
      <c r="C1451">
        <f>IFERROR(NAV!C1452/NAV!C1451-1,"")</f>
        <v/>
      </c>
    </row>
    <row r="1452">
      <c r="A1452">
        <f>NAV!A1453</f>
        <v/>
      </c>
      <c r="B1452">
        <f>IFERROR(NAV!B1453/NAV!B1452-1,"")</f>
        <v/>
      </c>
      <c r="C1452">
        <f>IFERROR(NAV!C1453/NAV!C1452-1,"")</f>
        <v/>
      </c>
    </row>
    <row r="1453">
      <c r="A1453">
        <f>NAV!A1454</f>
        <v/>
      </c>
      <c r="B1453">
        <f>IFERROR(NAV!B1454/NAV!B1453-1,"")</f>
        <v/>
      </c>
      <c r="C1453">
        <f>IFERROR(NAV!C1454/NAV!C1453-1,"")</f>
        <v/>
      </c>
    </row>
    <row r="1454">
      <c r="A1454">
        <f>NAV!A1455</f>
        <v/>
      </c>
      <c r="B1454">
        <f>IFERROR(NAV!B1455/NAV!B1454-1,"")</f>
        <v/>
      </c>
      <c r="C1454">
        <f>IFERROR(NAV!C1455/NAV!C1454-1,"")</f>
        <v/>
      </c>
    </row>
    <row r="1455">
      <c r="A1455">
        <f>NAV!A1456</f>
        <v/>
      </c>
      <c r="B1455">
        <f>IFERROR(NAV!B1456/NAV!B1455-1,"")</f>
        <v/>
      </c>
      <c r="C1455">
        <f>IFERROR(NAV!C1456/NAV!C1455-1,"")</f>
        <v/>
      </c>
    </row>
    <row r="1456">
      <c r="A1456">
        <f>NAV!A1457</f>
        <v/>
      </c>
      <c r="B1456">
        <f>IFERROR(NAV!B1457/NAV!B1456-1,"")</f>
        <v/>
      </c>
      <c r="C1456">
        <f>IFERROR(NAV!C1457/NAV!C1456-1,"")</f>
        <v/>
      </c>
    </row>
    <row r="1457">
      <c r="A1457">
        <f>NAV!A1458</f>
        <v/>
      </c>
      <c r="B1457">
        <f>IFERROR(NAV!B1458/NAV!B1457-1,"")</f>
        <v/>
      </c>
      <c r="C1457">
        <f>IFERROR(NAV!C1458/NAV!C1457-1,"")</f>
        <v/>
      </c>
    </row>
    <row r="1458">
      <c r="A1458">
        <f>NAV!A1459</f>
        <v/>
      </c>
      <c r="B1458">
        <f>IFERROR(NAV!B1459/NAV!B1458-1,"")</f>
        <v/>
      </c>
      <c r="C1458">
        <f>IFERROR(NAV!C1459/NAV!C1458-1,"")</f>
        <v/>
      </c>
    </row>
    <row r="1459">
      <c r="A1459">
        <f>NAV!A1460</f>
        <v/>
      </c>
      <c r="B1459">
        <f>IFERROR(NAV!B1460/NAV!B1459-1,"")</f>
        <v/>
      </c>
      <c r="C1459">
        <f>IFERROR(NAV!C1460/NAV!C1459-1,"")</f>
        <v/>
      </c>
    </row>
    <row r="1460">
      <c r="A1460">
        <f>NAV!A1461</f>
        <v/>
      </c>
      <c r="B1460">
        <f>IFERROR(NAV!B1461/NAV!B1460-1,"")</f>
        <v/>
      </c>
      <c r="C1460">
        <f>IFERROR(NAV!C1461/NAV!C1460-1,"")</f>
        <v/>
      </c>
    </row>
    <row r="1461">
      <c r="A1461">
        <f>NAV!A1462</f>
        <v/>
      </c>
      <c r="B1461">
        <f>IFERROR(NAV!B1462/NAV!B1461-1,"")</f>
        <v/>
      </c>
      <c r="C1461">
        <f>IFERROR(NAV!C1462/NAV!C1461-1,"")</f>
        <v/>
      </c>
    </row>
    <row r="1462">
      <c r="A1462">
        <f>NAV!A1463</f>
        <v/>
      </c>
      <c r="B1462">
        <f>IFERROR(NAV!B1463/NAV!B1462-1,"")</f>
        <v/>
      </c>
      <c r="C1462">
        <f>IFERROR(NAV!C1463/NAV!C1462-1,"")</f>
        <v/>
      </c>
    </row>
    <row r="1463">
      <c r="A1463">
        <f>NAV!A1464</f>
        <v/>
      </c>
      <c r="B1463">
        <f>IFERROR(NAV!B1464/NAV!B1463-1,"")</f>
        <v/>
      </c>
      <c r="C1463">
        <f>IFERROR(NAV!C1464/NAV!C1463-1,"")</f>
        <v/>
      </c>
    </row>
    <row r="1464">
      <c r="A1464">
        <f>NAV!A1465</f>
        <v/>
      </c>
      <c r="B1464">
        <f>IFERROR(NAV!B1465/NAV!B1464-1,"")</f>
        <v/>
      </c>
      <c r="C1464">
        <f>IFERROR(NAV!C1465/NAV!C1464-1,"")</f>
        <v/>
      </c>
    </row>
    <row r="1465">
      <c r="A1465">
        <f>NAV!A1466</f>
        <v/>
      </c>
      <c r="B1465">
        <f>IFERROR(NAV!B1466/NAV!B1465-1,"")</f>
        <v/>
      </c>
      <c r="C1465">
        <f>IFERROR(NAV!C1466/NAV!C1465-1,"")</f>
        <v/>
      </c>
    </row>
    <row r="1466">
      <c r="A1466">
        <f>NAV!A1467</f>
        <v/>
      </c>
      <c r="B1466">
        <f>IFERROR(NAV!B1467/NAV!B1466-1,"")</f>
        <v/>
      </c>
      <c r="C1466">
        <f>IFERROR(NAV!C1467/NAV!C1466-1,"")</f>
        <v/>
      </c>
    </row>
    <row r="1467">
      <c r="A1467">
        <f>NAV!A1468</f>
        <v/>
      </c>
      <c r="B1467">
        <f>IFERROR(NAV!B1468/NAV!B1467-1,"")</f>
        <v/>
      </c>
      <c r="C1467">
        <f>IFERROR(NAV!C1468/NAV!C1467-1,"")</f>
        <v/>
      </c>
    </row>
    <row r="1468">
      <c r="A1468">
        <f>NAV!A1469</f>
        <v/>
      </c>
      <c r="B1468">
        <f>IFERROR(NAV!B1469/NAV!B1468-1,"")</f>
        <v/>
      </c>
      <c r="C1468">
        <f>IFERROR(NAV!C1469/NAV!C1468-1,"")</f>
        <v/>
      </c>
    </row>
    <row r="1469">
      <c r="A1469">
        <f>NAV!A1470</f>
        <v/>
      </c>
      <c r="B1469">
        <f>IFERROR(NAV!B1470/NAV!B1469-1,"")</f>
        <v/>
      </c>
      <c r="C1469">
        <f>IFERROR(NAV!C1470/NAV!C1469-1,"")</f>
        <v/>
      </c>
    </row>
    <row r="1470">
      <c r="A1470">
        <f>NAV!A1471</f>
        <v/>
      </c>
      <c r="B1470">
        <f>IFERROR(NAV!B1471/NAV!B1470-1,"")</f>
        <v/>
      </c>
      <c r="C1470">
        <f>IFERROR(NAV!C1471/NAV!C1470-1,"")</f>
        <v/>
      </c>
    </row>
    <row r="1471">
      <c r="A1471">
        <f>NAV!A1472</f>
        <v/>
      </c>
      <c r="B1471">
        <f>IFERROR(NAV!B1472/NAV!B1471-1,"")</f>
        <v/>
      </c>
      <c r="C1471">
        <f>IFERROR(NAV!C1472/NAV!C1471-1,"")</f>
        <v/>
      </c>
    </row>
    <row r="1472">
      <c r="A1472">
        <f>NAV!A1473</f>
        <v/>
      </c>
      <c r="B1472">
        <f>IFERROR(NAV!B1473/NAV!B1472-1,"")</f>
        <v/>
      </c>
      <c r="C1472">
        <f>IFERROR(NAV!C1473/NAV!C1472-1,"")</f>
        <v/>
      </c>
    </row>
    <row r="1473">
      <c r="A1473">
        <f>NAV!A1474</f>
        <v/>
      </c>
      <c r="B1473">
        <f>IFERROR(NAV!B1474/NAV!B1473-1,"")</f>
        <v/>
      </c>
      <c r="C1473">
        <f>IFERROR(NAV!C1474/NAV!C1473-1,"")</f>
        <v/>
      </c>
    </row>
    <row r="1474">
      <c r="A1474">
        <f>NAV!A1475</f>
        <v/>
      </c>
      <c r="B1474">
        <f>IFERROR(NAV!B1475/NAV!B1474-1,"")</f>
        <v/>
      </c>
      <c r="C1474">
        <f>IFERROR(NAV!C1475/NAV!C1474-1,"")</f>
        <v/>
      </c>
    </row>
    <row r="1475">
      <c r="A1475">
        <f>NAV!A1476</f>
        <v/>
      </c>
      <c r="B1475">
        <f>IFERROR(NAV!B1476/NAV!B1475-1,"")</f>
        <v/>
      </c>
      <c r="C1475">
        <f>IFERROR(NAV!C1476/NAV!C1475-1,"")</f>
        <v/>
      </c>
    </row>
    <row r="1476">
      <c r="A1476">
        <f>NAV!A1477</f>
        <v/>
      </c>
      <c r="B1476">
        <f>IFERROR(NAV!B1477/NAV!B1476-1,"")</f>
        <v/>
      </c>
      <c r="C1476">
        <f>IFERROR(NAV!C1477/NAV!C1476-1,"")</f>
        <v/>
      </c>
    </row>
    <row r="1477">
      <c r="A1477">
        <f>NAV!A1478</f>
        <v/>
      </c>
      <c r="B1477">
        <f>IFERROR(NAV!B1478/NAV!B1477-1,"")</f>
        <v/>
      </c>
      <c r="C1477">
        <f>IFERROR(NAV!C1478/NAV!C1477-1,"")</f>
        <v/>
      </c>
    </row>
    <row r="1478">
      <c r="A1478">
        <f>NAV!A1479</f>
        <v/>
      </c>
      <c r="B1478">
        <f>IFERROR(NAV!B1479/NAV!B1478-1,"")</f>
        <v/>
      </c>
      <c r="C1478">
        <f>IFERROR(NAV!C1479/NAV!C1478-1,"")</f>
        <v/>
      </c>
    </row>
    <row r="1479">
      <c r="A1479">
        <f>NAV!A1480</f>
        <v/>
      </c>
      <c r="B1479">
        <f>IFERROR(NAV!B1480/NAV!B1479-1,"")</f>
        <v/>
      </c>
      <c r="C1479">
        <f>IFERROR(NAV!C1480/NAV!C1479-1,"")</f>
        <v/>
      </c>
    </row>
    <row r="1480">
      <c r="A1480">
        <f>NAV!A1481</f>
        <v/>
      </c>
      <c r="B1480">
        <f>IFERROR(NAV!B1481/NAV!B1480-1,"")</f>
        <v/>
      </c>
      <c r="C1480">
        <f>IFERROR(NAV!C1481/NAV!C1480-1,"")</f>
        <v/>
      </c>
    </row>
    <row r="1481">
      <c r="A1481">
        <f>NAV!A1482</f>
        <v/>
      </c>
      <c r="B1481">
        <f>IFERROR(NAV!B1482/NAV!B1481-1,"")</f>
        <v/>
      </c>
      <c r="C1481">
        <f>IFERROR(NAV!C1482/NAV!C1481-1,"")</f>
        <v/>
      </c>
    </row>
    <row r="1482">
      <c r="A1482">
        <f>NAV!A1483</f>
        <v/>
      </c>
      <c r="B1482">
        <f>IFERROR(NAV!B1483/NAV!B1482-1,"")</f>
        <v/>
      </c>
      <c r="C1482">
        <f>IFERROR(NAV!C1483/NAV!C1482-1,"")</f>
        <v/>
      </c>
    </row>
    <row r="1483">
      <c r="A1483">
        <f>NAV!A1484</f>
        <v/>
      </c>
      <c r="B1483">
        <f>IFERROR(NAV!B1484/NAV!B1483-1,"")</f>
        <v/>
      </c>
      <c r="C1483">
        <f>IFERROR(NAV!C1484/NAV!C1483-1,"")</f>
        <v/>
      </c>
    </row>
    <row r="1484">
      <c r="A1484">
        <f>NAV!A1485</f>
        <v/>
      </c>
      <c r="B1484">
        <f>IFERROR(NAV!B1485/NAV!B1484-1,"")</f>
        <v/>
      </c>
      <c r="C1484">
        <f>IFERROR(NAV!C1485/NAV!C1484-1,"")</f>
        <v/>
      </c>
    </row>
    <row r="1485">
      <c r="A1485">
        <f>NAV!A1486</f>
        <v/>
      </c>
      <c r="B1485">
        <f>IFERROR(NAV!B1486/NAV!B1485-1,"")</f>
        <v/>
      </c>
      <c r="C1485">
        <f>IFERROR(NAV!C1486/NAV!C1485-1,"")</f>
        <v/>
      </c>
    </row>
    <row r="1486">
      <c r="A1486">
        <f>NAV!A1487</f>
        <v/>
      </c>
      <c r="B1486">
        <f>IFERROR(NAV!B1487/NAV!B1486-1,"")</f>
        <v/>
      </c>
      <c r="C1486">
        <f>IFERROR(NAV!C1487/NAV!C1486-1,"")</f>
        <v/>
      </c>
    </row>
    <row r="1487">
      <c r="A1487">
        <f>NAV!A1488</f>
        <v/>
      </c>
      <c r="B1487">
        <f>IFERROR(NAV!B1488/NAV!B1487-1,"")</f>
        <v/>
      </c>
      <c r="C1487">
        <f>IFERROR(NAV!C1488/NAV!C1487-1,"")</f>
        <v/>
      </c>
    </row>
    <row r="1488">
      <c r="A1488">
        <f>NAV!A1489</f>
        <v/>
      </c>
      <c r="B1488">
        <f>IFERROR(NAV!B1489/NAV!B1488-1,"")</f>
        <v/>
      </c>
      <c r="C1488">
        <f>IFERROR(NAV!C1489/NAV!C1488-1,"")</f>
        <v/>
      </c>
    </row>
    <row r="1489">
      <c r="A1489">
        <f>NAV!A1490</f>
        <v/>
      </c>
      <c r="B1489">
        <f>IFERROR(NAV!B1490/NAV!B1489-1,"")</f>
        <v/>
      </c>
      <c r="C1489">
        <f>IFERROR(NAV!C1490/NAV!C1489-1,"")</f>
        <v/>
      </c>
    </row>
    <row r="1490">
      <c r="A1490">
        <f>NAV!A1491</f>
        <v/>
      </c>
      <c r="B1490">
        <f>IFERROR(NAV!B1491/NAV!B1490-1,"")</f>
        <v/>
      </c>
      <c r="C1490">
        <f>IFERROR(NAV!C1491/NAV!C1490-1,"")</f>
        <v/>
      </c>
    </row>
    <row r="1491">
      <c r="A1491">
        <f>NAV!A1492</f>
        <v/>
      </c>
      <c r="B1491">
        <f>IFERROR(NAV!B1492/NAV!B1491-1,"")</f>
        <v/>
      </c>
      <c r="C1491">
        <f>IFERROR(NAV!C1492/NAV!C1491-1,"")</f>
        <v/>
      </c>
    </row>
    <row r="1492">
      <c r="A1492">
        <f>NAV!A1493</f>
        <v/>
      </c>
      <c r="B1492">
        <f>IFERROR(NAV!B1493/NAV!B1492-1,"")</f>
        <v/>
      </c>
      <c r="C1492">
        <f>IFERROR(NAV!C1493/NAV!C1492-1,"")</f>
        <v/>
      </c>
    </row>
    <row r="1493">
      <c r="A1493">
        <f>NAV!A1494</f>
        <v/>
      </c>
      <c r="B1493">
        <f>IFERROR(NAV!B1494/NAV!B1493-1,"")</f>
        <v/>
      </c>
      <c r="C1493">
        <f>IFERROR(NAV!C1494/NAV!C1493-1,"")</f>
        <v/>
      </c>
    </row>
    <row r="1494">
      <c r="A1494">
        <f>NAV!A1495</f>
        <v/>
      </c>
      <c r="B1494">
        <f>IFERROR(NAV!B1495/NAV!B1494-1,"")</f>
        <v/>
      </c>
      <c r="C1494">
        <f>IFERROR(NAV!C1495/NAV!C1494-1,"")</f>
        <v/>
      </c>
    </row>
    <row r="1495">
      <c r="A1495">
        <f>NAV!A1496</f>
        <v/>
      </c>
      <c r="B1495">
        <f>IFERROR(NAV!B1496/NAV!B1495-1,"")</f>
        <v/>
      </c>
      <c r="C1495">
        <f>IFERROR(NAV!C1496/NAV!C1495-1,"")</f>
        <v/>
      </c>
    </row>
    <row r="1496">
      <c r="A1496">
        <f>NAV!A1497</f>
        <v/>
      </c>
      <c r="B1496">
        <f>IFERROR(NAV!B1497/NAV!B1496-1,"")</f>
        <v/>
      </c>
      <c r="C1496">
        <f>IFERROR(NAV!C1497/NAV!C1496-1,"")</f>
        <v/>
      </c>
    </row>
    <row r="1497">
      <c r="A1497">
        <f>NAV!A1498</f>
        <v/>
      </c>
      <c r="B1497">
        <f>IFERROR(NAV!B1498/NAV!B1497-1,"")</f>
        <v/>
      </c>
      <c r="C1497">
        <f>IFERROR(NAV!C1498/NAV!C1497-1,"")</f>
        <v/>
      </c>
    </row>
    <row r="1498">
      <c r="A1498">
        <f>NAV!A1499</f>
        <v/>
      </c>
      <c r="B1498">
        <f>IFERROR(NAV!B1499/NAV!B1498-1,"")</f>
        <v/>
      </c>
      <c r="C1498">
        <f>IFERROR(NAV!C1499/NAV!C1498-1,"")</f>
        <v/>
      </c>
    </row>
    <row r="1499">
      <c r="A1499">
        <f>NAV!A1500</f>
        <v/>
      </c>
      <c r="B1499">
        <f>IFERROR(NAV!B1500/NAV!B1499-1,"")</f>
        <v/>
      </c>
      <c r="C1499">
        <f>IFERROR(NAV!C1500/NAV!C1499-1,"")</f>
        <v/>
      </c>
    </row>
    <row r="1500">
      <c r="A1500">
        <f>NAV!A1501</f>
        <v/>
      </c>
      <c r="B1500">
        <f>IFERROR(NAV!B1501/NAV!B1500-1,"")</f>
        <v/>
      </c>
      <c r="C1500">
        <f>IFERROR(NAV!C1501/NAV!C1500-1,"")</f>
        <v/>
      </c>
    </row>
    <row r="1501">
      <c r="A1501">
        <f>NAV!A1502</f>
        <v/>
      </c>
      <c r="B1501">
        <f>IFERROR(NAV!B1502/NAV!B1501-1,"")</f>
        <v/>
      </c>
      <c r="C1501">
        <f>IFERROR(NAV!C1502/NAV!C1501-1,"")</f>
        <v/>
      </c>
    </row>
    <row r="1502">
      <c r="A1502">
        <f>NAV!A1503</f>
        <v/>
      </c>
      <c r="B1502">
        <f>IFERROR(NAV!B1503/NAV!B1502-1,"")</f>
        <v/>
      </c>
      <c r="C1502">
        <f>IFERROR(NAV!C1503/NAV!C1502-1,"")</f>
        <v/>
      </c>
    </row>
    <row r="1503">
      <c r="A1503">
        <f>NAV!A1504</f>
        <v/>
      </c>
      <c r="B1503">
        <f>IFERROR(NAV!B1504/NAV!B1503-1,"")</f>
        <v/>
      </c>
      <c r="C1503">
        <f>IFERROR(NAV!C1504/NAV!C1503-1,"")</f>
        <v/>
      </c>
    </row>
    <row r="1504">
      <c r="A1504">
        <f>NAV!A1505</f>
        <v/>
      </c>
      <c r="B1504">
        <f>IFERROR(NAV!B1505/NAV!B1504-1,"")</f>
        <v/>
      </c>
      <c r="C1504">
        <f>IFERROR(NAV!C1505/NAV!C1504-1,"")</f>
        <v/>
      </c>
    </row>
    <row r="1505">
      <c r="A1505">
        <f>NAV!A1506</f>
        <v/>
      </c>
      <c r="B1505">
        <f>IFERROR(NAV!B1506/NAV!B1505-1,"")</f>
        <v/>
      </c>
      <c r="C1505">
        <f>IFERROR(NAV!C1506/NAV!C1505-1,"")</f>
        <v/>
      </c>
    </row>
    <row r="1506">
      <c r="A1506">
        <f>NAV!A1507</f>
        <v/>
      </c>
      <c r="B1506">
        <f>IFERROR(NAV!B1507/NAV!B1506-1,"")</f>
        <v/>
      </c>
      <c r="C1506">
        <f>IFERROR(NAV!C1507/NAV!C1506-1,"")</f>
        <v/>
      </c>
    </row>
    <row r="1507">
      <c r="A1507">
        <f>NAV!A1508</f>
        <v/>
      </c>
      <c r="B1507">
        <f>IFERROR(NAV!B1508/NAV!B1507-1,"")</f>
        <v/>
      </c>
      <c r="C1507">
        <f>IFERROR(NAV!C1508/NAV!C1507-1,"")</f>
        <v/>
      </c>
    </row>
    <row r="1508">
      <c r="A1508">
        <f>NAV!A1509</f>
        <v/>
      </c>
      <c r="B1508">
        <f>IFERROR(NAV!B1509/NAV!B1508-1,"")</f>
        <v/>
      </c>
      <c r="C1508">
        <f>IFERROR(NAV!C1509/NAV!C1508-1,"")</f>
        <v/>
      </c>
    </row>
    <row r="1509">
      <c r="A1509">
        <f>NAV!A1510</f>
        <v/>
      </c>
      <c r="B1509">
        <f>IFERROR(NAV!B1510/NAV!B1509-1,"")</f>
        <v/>
      </c>
      <c r="C1509">
        <f>IFERROR(NAV!C1510/NAV!C1509-1,"")</f>
        <v/>
      </c>
    </row>
    <row r="1510">
      <c r="A1510">
        <f>NAV!A1511</f>
        <v/>
      </c>
      <c r="B1510">
        <f>IFERROR(NAV!B1511/NAV!B1510-1,"")</f>
        <v/>
      </c>
      <c r="C1510">
        <f>IFERROR(NAV!C1511/NAV!C1510-1,"")</f>
        <v/>
      </c>
    </row>
    <row r="1511">
      <c r="A1511">
        <f>NAV!A1512</f>
        <v/>
      </c>
      <c r="B1511">
        <f>IFERROR(NAV!B1512/NAV!B1511-1,"")</f>
        <v/>
      </c>
      <c r="C1511">
        <f>IFERROR(NAV!C1512/NAV!C1511-1,"")</f>
        <v/>
      </c>
    </row>
    <row r="1512">
      <c r="A1512">
        <f>NAV!A1513</f>
        <v/>
      </c>
      <c r="B1512">
        <f>IFERROR(NAV!B1513/NAV!B1512-1,"")</f>
        <v/>
      </c>
      <c r="C1512">
        <f>IFERROR(NAV!C1513/NAV!C1512-1,"")</f>
        <v/>
      </c>
    </row>
    <row r="1513">
      <c r="A1513">
        <f>NAV!A1514</f>
        <v/>
      </c>
      <c r="B1513">
        <f>IFERROR(NAV!B1514/NAV!B1513-1,"")</f>
        <v/>
      </c>
      <c r="C1513">
        <f>IFERROR(NAV!C1514/NAV!C1513-1,"")</f>
        <v/>
      </c>
    </row>
    <row r="1514">
      <c r="A1514">
        <f>NAV!A1515</f>
        <v/>
      </c>
      <c r="B1514">
        <f>IFERROR(NAV!B1515/NAV!B1514-1,"")</f>
        <v/>
      </c>
      <c r="C1514">
        <f>IFERROR(NAV!C1515/NAV!C1514-1,"")</f>
        <v/>
      </c>
    </row>
    <row r="1515">
      <c r="A1515">
        <f>NAV!A1516</f>
        <v/>
      </c>
      <c r="B1515">
        <f>IFERROR(NAV!B1516/NAV!B1515-1,"")</f>
        <v/>
      </c>
      <c r="C1515">
        <f>IFERROR(NAV!C1516/NAV!C1515-1,"")</f>
        <v/>
      </c>
    </row>
    <row r="1516">
      <c r="A1516">
        <f>NAV!A1517</f>
        <v/>
      </c>
      <c r="B1516">
        <f>IFERROR(NAV!B1517/NAV!B1516-1,"")</f>
        <v/>
      </c>
      <c r="C1516">
        <f>IFERROR(NAV!C1517/NAV!C1516-1,"")</f>
        <v/>
      </c>
    </row>
    <row r="1517">
      <c r="A1517">
        <f>NAV!A1518</f>
        <v/>
      </c>
      <c r="B1517">
        <f>IFERROR(NAV!B1518/NAV!B1517-1,"")</f>
        <v/>
      </c>
      <c r="C1517">
        <f>IFERROR(NAV!C1518/NAV!C1517-1,"")</f>
        <v/>
      </c>
    </row>
    <row r="1518">
      <c r="A1518">
        <f>NAV!A1519</f>
        <v/>
      </c>
      <c r="B1518">
        <f>IFERROR(NAV!B1519/NAV!B1518-1,"")</f>
        <v/>
      </c>
      <c r="C1518">
        <f>IFERROR(NAV!C1519/NAV!C1518-1,"")</f>
        <v/>
      </c>
    </row>
    <row r="1519">
      <c r="A1519">
        <f>NAV!A1520</f>
        <v/>
      </c>
      <c r="B1519">
        <f>IFERROR(NAV!B1520/NAV!B1519-1,"")</f>
        <v/>
      </c>
      <c r="C1519">
        <f>IFERROR(NAV!C1520/NAV!C1519-1,"")</f>
        <v/>
      </c>
    </row>
    <row r="1520">
      <c r="A1520">
        <f>NAV!A1521</f>
        <v/>
      </c>
      <c r="B1520">
        <f>IFERROR(NAV!B1521/NAV!B1520-1,"")</f>
        <v/>
      </c>
      <c r="C1520">
        <f>IFERROR(NAV!C1521/NAV!C1520-1,"")</f>
        <v/>
      </c>
    </row>
    <row r="1521">
      <c r="A1521">
        <f>NAV!A1522</f>
        <v/>
      </c>
      <c r="B1521">
        <f>IFERROR(NAV!B1522/NAV!B1521-1,"")</f>
        <v/>
      </c>
      <c r="C1521">
        <f>IFERROR(NAV!C1522/NAV!C1521-1,"")</f>
        <v/>
      </c>
    </row>
    <row r="1522">
      <c r="A1522">
        <f>NAV!A1523</f>
        <v/>
      </c>
      <c r="B1522">
        <f>IFERROR(NAV!B1523/NAV!B1522-1,"")</f>
        <v/>
      </c>
      <c r="C1522">
        <f>IFERROR(NAV!C1523/NAV!C1522-1,"")</f>
        <v/>
      </c>
    </row>
    <row r="1523">
      <c r="A1523">
        <f>NAV!A1524</f>
        <v/>
      </c>
      <c r="B1523">
        <f>IFERROR(NAV!B1524/NAV!B1523-1,"")</f>
        <v/>
      </c>
      <c r="C1523">
        <f>IFERROR(NAV!C1524/NAV!C1523-1,"")</f>
        <v/>
      </c>
    </row>
    <row r="1524">
      <c r="A1524">
        <f>NAV!A1525</f>
        <v/>
      </c>
      <c r="B1524">
        <f>IFERROR(NAV!B1525/NAV!B1524-1,"")</f>
        <v/>
      </c>
      <c r="C1524">
        <f>IFERROR(NAV!C1525/NAV!C1524-1,"")</f>
        <v/>
      </c>
    </row>
    <row r="1525">
      <c r="A1525">
        <f>NAV!A1526</f>
        <v/>
      </c>
      <c r="B1525">
        <f>IFERROR(NAV!B1526/NAV!B1525-1,"")</f>
        <v/>
      </c>
      <c r="C1525">
        <f>IFERROR(NAV!C1526/NAV!C1525-1,"")</f>
        <v/>
      </c>
    </row>
    <row r="1526">
      <c r="A1526">
        <f>NAV!A1527</f>
        <v/>
      </c>
      <c r="B1526">
        <f>IFERROR(NAV!B1527/NAV!B1526-1,"")</f>
        <v/>
      </c>
      <c r="C1526">
        <f>IFERROR(NAV!C1527/NAV!C1526-1,"")</f>
        <v/>
      </c>
    </row>
    <row r="1527">
      <c r="A1527">
        <f>NAV!A1528</f>
        <v/>
      </c>
      <c r="B1527">
        <f>IFERROR(NAV!B1528/NAV!B1527-1,"")</f>
        <v/>
      </c>
      <c r="C1527">
        <f>IFERROR(NAV!C1528/NAV!C1527-1,"")</f>
        <v/>
      </c>
    </row>
    <row r="1528">
      <c r="A1528">
        <f>NAV!A1529</f>
        <v/>
      </c>
      <c r="B1528">
        <f>IFERROR(NAV!B1529/NAV!B1528-1,"")</f>
        <v/>
      </c>
      <c r="C1528">
        <f>IFERROR(NAV!C1529/NAV!C1528-1,"")</f>
        <v/>
      </c>
    </row>
    <row r="1529">
      <c r="A1529">
        <f>NAV!A1530</f>
        <v/>
      </c>
      <c r="B1529">
        <f>IFERROR(NAV!B1530/NAV!B1529-1,"")</f>
        <v/>
      </c>
      <c r="C1529">
        <f>IFERROR(NAV!C1530/NAV!C1529-1,"")</f>
        <v/>
      </c>
    </row>
    <row r="1530">
      <c r="A1530">
        <f>NAV!A1531</f>
        <v/>
      </c>
      <c r="B1530">
        <f>IFERROR(NAV!B1531/NAV!B1530-1,"")</f>
        <v/>
      </c>
      <c r="C1530">
        <f>IFERROR(NAV!C1531/NAV!C1530-1,"")</f>
        <v/>
      </c>
    </row>
    <row r="1531">
      <c r="A1531">
        <f>NAV!A1532</f>
        <v/>
      </c>
      <c r="B1531">
        <f>IFERROR(NAV!B1532/NAV!B1531-1,"")</f>
        <v/>
      </c>
      <c r="C1531">
        <f>IFERROR(NAV!C1532/NAV!C1531-1,"")</f>
        <v/>
      </c>
    </row>
    <row r="1532">
      <c r="A1532">
        <f>NAV!A1533</f>
        <v/>
      </c>
      <c r="B1532">
        <f>IFERROR(NAV!B1533/NAV!B1532-1,"")</f>
        <v/>
      </c>
      <c r="C1532">
        <f>IFERROR(NAV!C1533/NAV!C1532-1,"")</f>
        <v/>
      </c>
    </row>
    <row r="1533">
      <c r="A1533">
        <f>NAV!A1534</f>
        <v/>
      </c>
      <c r="B1533">
        <f>IFERROR(NAV!B1534/NAV!B1533-1,"")</f>
        <v/>
      </c>
      <c r="C1533">
        <f>IFERROR(NAV!C1534/NAV!C1533-1,"")</f>
        <v/>
      </c>
    </row>
    <row r="1534">
      <c r="A1534">
        <f>NAV!A1535</f>
        <v/>
      </c>
      <c r="B1534">
        <f>IFERROR(NAV!B1535/NAV!B1534-1,"")</f>
        <v/>
      </c>
      <c r="C1534">
        <f>IFERROR(NAV!C1535/NAV!C1534-1,"")</f>
        <v/>
      </c>
    </row>
    <row r="1535">
      <c r="A1535">
        <f>NAV!A1536</f>
        <v/>
      </c>
      <c r="B1535">
        <f>IFERROR(NAV!B1536/NAV!B1535-1,"")</f>
        <v/>
      </c>
      <c r="C1535">
        <f>IFERROR(NAV!C1536/NAV!C1535-1,"")</f>
        <v/>
      </c>
    </row>
    <row r="1536">
      <c r="A1536">
        <f>NAV!A1537</f>
        <v/>
      </c>
      <c r="B1536">
        <f>IFERROR(NAV!B1537/NAV!B1536-1,"")</f>
        <v/>
      </c>
      <c r="C1536">
        <f>IFERROR(NAV!C1537/NAV!C1536-1,"")</f>
        <v/>
      </c>
    </row>
    <row r="1537">
      <c r="A1537">
        <f>NAV!A1538</f>
        <v/>
      </c>
      <c r="B1537">
        <f>IFERROR(NAV!B1538/NAV!B1537-1,"")</f>
        <v/>
      </c>
      <c r="C1537">
        <f>IFERROR(NAV!C1538/NAV!C1537-1,"")</f>
        <v/>
      </c>
    </row>
    <row r="1538">
      <c r="A1538">
        <f>NAV!A1539</f>
        <v/>
      </c>
      <c r="B1538">
        <f>IFERROR(NAV!B1539/NAV!B1538-1,"")</f>
        <v/>
      </c>
      <c r="C1538">
        <f>IFERROR(NAV!C1539/NAV!C1538-1,"")</f>
        <v/>
      </c>
    </row>
    <row r="1539">
      <c r="A1539">
        <f>NAV!A1540</f>
        <v/>
      </c>
      <c r="B1539">
        <f>IFERROR(NAV!B1540/NAV!B1539-1,"")</f>
        <v/>
      </c>
      <c r="C1539">
        <f>IFERROR(NAV!C1540/NAV!C1539-1,"")</f>
        <v/>
      </c>
    </row>
    <row r="1540">
      <c r="A1540">
        <f>NAV!A1541</f>
        <v/>
      </c>
      <c r="B1540">
        <f>IFERROR(NAV!B1541/NAV!B1540-1,"")</f>
        <v/>
      </c>
      <c r="C1540">
        <f>IFERROR(NAV!C1541/NAV!C1540-1,"")</f>
        <v/>
      </c>
    </row>
    <row r="1541">
      <c r="A1541">
        <f>NAV!A1542</f>
        <v/>
      </c>
      <c r="B1541">
        <f>IFERROR(NAV!B1542/NAV!B1541-1,"")</f>
        <v/>
      </c>
      <c r="C1541">
        <f>IFERROR(NAV!C1542/NAV!C1541-1,"")</f>
        <v/>
      </c>
    </row>
    <row r="1542">
      <c r="A1542">
        <f>NAV!A1543</f>
        <v/>
      </c>
      <c r="B1542">
        <f>IFERROR(NAV!B1543/NAV!B1542-1,"")</f>
        <v/>
      </c>
      <c r="C1542">
        <f>IFERROR(NAV!C1543/NAV!C1542-1,"")</f>
        <v/>
      </c>
    </row>
    <row r="1543">
      <c r="A1543">
        <f>NAV!A1544</f>
        <v/>
      </c>
      <c r="B1543">
        <f>IFERROR(NAV!B1544/NAV!B1543-1,"")</f>
        <v/>
      </c>
      <c r="C1543">
        <f>IFERROR(NAV!C1544/NAV!C1543-1,"")</f>
        <v/>
      </c>
    </row>
    <row r="1544">
      <c r="A1544">
        <f>NAV!A1545</f>
        <v/>
      </c>
      <c r="B1544">
        <f>IFERROR(NAV!B1545/NAV!B1544-1,"")</f>
        <v/>
      </c>
      <c r="C1544">
        <f>IFERROR(NAV!C1545/NAV!C1544-1,"")</f>
        <v/>
      </c>
    </row>
    <row r="1545">
      <c r="A1545">
        <f>NAV!A1546</f>
        <v/>
      </c>
      <c r="B1545">
        <f>IFERROR(NAV!B1546/NAV!B1545-1,"")</f>
        <v/>
      </c>
      <c r="C1545">
        <f>IFERROR(NAV!C1546/NAV!C1545-1,"")</f>
        <v/>
      </c>
    </row>
    <row r="1546">
      <c r="A1546">
        <f>NAV!A1547</f>
        <v/>
      </c>
      <c r="B1546">
        <f>IFERROR(NAV!B1547/NAV!B1546-1,"")</f>
        <v/>
      </c>
      <c r="C1546">
        <f>IFERROR(NAV!C1547/NAV!C1546-1,"")</f>
        <v/>
      </c>
    </row>
    <row r="1547">
      <c r="A1547">
        <f>NAV!A1548</f>
        <v/>
      </c>
      <c r="B1547">
        <f>IFERROR(NAV!B1548/NAV!B1547-1,"")</f>
        <v/>
      </c>
      <c r="C1547">
        <f>IFERROR(NAV!C1548/NAV!C1547-1,"")</f>
        <v/>
      </c>
    </row>
    <row r="1548">
      <c r="A1548">
        <f>NAV!A1549</f>
        <v/>
      </c>
      <c r="B1548">
        <f>IFERROR(NAV!B1549/NAV!B1548-1,"")</f>
        <v/>
      </c>
      <c r="C1548">
        <f>IFERROR(NAV!C1549/NAV!C1548-1,"")</f>
        <v/>
      </c>
    </row>
    <row r="1549">
      <c r="A1549">
        <f>NAV!A1550</f>
        <v/>
      </c>
      <c r="B1549">
        <f>IFERROR(NAV!B1550/NAV!B1549-1,"")</f>
        <v/>
      </c>
      <c r="C1549">
        <f>IFERROR(NAV!C1550/NAV!C1549-1,"")</f>
        <v/>
      </c>
    </row>
    <row r="1550">
      <c r="A1550">
        <f>NAV!A1551</f>
        <v/>
      </c>
      <c r="B1550">
        <f>IFERROR(NAV!B1551/NAV!B1550-1,"")</f>
        <v/>
      </c>
      <c r="C1550">
        <f>IFERROR(NAV!C1551/NAV!C1550-1,"")</f>
        <v/>
      </c>
    </row>
    <row r="1551">
      <c r="A1551">
        <f>NAV!A1552</f>
        <v/>
      </c>
      <c r="B1551">
        <f>IFERROR(NAV!B1552/NAV!B1551-1,"")</f>
        <v/>
      </c>
      <c r="C1551">
        <f>IFERROR(NAV!C1552/NAV!C1551-1,"")</f>
        <v/>
      </c>
    </row>
    <row r="1552">
      <c r="A1552">
        <f>NAV!A1553</f>
        <v/>
      </c>
      <c r="B1552">
        <f>IFERROR(NAV!B1553/NAV!B1552-1,"")</f>
        <v/>
      </c>
      <c r="C1552">
        <f>IFERROR(NAV!C1553/NAV!C1552-1,"")</f>
        <v/>
      </c>
    </row>
    <row r="1553">
      <c r="A1553">
        <f>NAV!A1554</f>
        <v/>
      </c>
      <c r="B1553">
        <f>IFERROR(NAV!B1554/NAV!B1553-1,"")</f>
        <v/>
      </c>
      <c r="C1553">
        <f>IFERROR(NAV!C1554/NAV!C1553-1,"")</f>
        <v/>
      </c>
    </row>
    <row r="1554">
      <c r="A1554">
        <f>NAV!A1555</f>
        <v/>
      </c>
      <c r="B1554">
        <f>IFERROR(NAV!B1555/NAV!B1554-1,"")</f>
        <v/>
      </c>
      <c r="C1554">
        <f>IFERROR(NAV!C1555/NAV!C1554-1,"")</f>
        <v/>
      </c>
    </row>
    <row r="1555">
      <c r="A1555">
        <f>NAV!A1556</f>
        <v/>
      </c>
      <c r="B1555">
        <f>IFERROR(NAV!B1556/NAV!B1555-1,"")</f>
        <v/>
      </c>
      <c r="C1555">
        <f>IFERROR(NAV!C1556/NAV!C1555-1,"")</f>
        <v/>
      </c>
    </row>
    <row r="1556">
      <c r="A1556">
        <f>NAV!A1557</f>
        <v/>
      </c>
      <c r="B1556">
        <f>IFERROR(NAV!B1557/NAV!B1556-1,"")</f>
        <v/>
      </c>
      <c r="C1556">
        <f>IFERROR(NAV!C1557/NAV!C1556-1,"")</f>
        <v/>
      </c>
    </row>
    <row r="1557">
      <c r="A1557">
        <f>NAV!A1558</f>
        <v/>
      </c>
      <c r="B1557">
        <f>IFERROR(NAV!B1558/NAV!B1557-1,"")</f>
        <v/>
      </c>
      <c r="C1557">
        <f>IFERROR(NAV!C1558/NAV!C1557-1,"")</f>
        <v/>
      </c>
    </row>
    <row r="1558">
      <c r="A1558">
        <f>NAV!A1559</f>
        <v/>
      </c>
      <c r="B1558">
        <f>IFERROR(NAV!B1559/NAV!B1558-1,"")</f>
        <v/>
      </c>
      <c r="C1558">
        <f>IFERROR(NAV!C1559/NAV!C1558-1,"")</f>
        <v/>
      </c>
    </row>
    <row r="1559">
      <c r="A1559">
        <f>NAV!A1560</f>
        <v/>
      </c>
      <c r="B1559">
        <f>IFERROR(NAV!B1560/NAV!B1559-1,"")</f>
        <v/>
      </c>
      <c r="C1559">
        <f>IFERROR(NAV!C1560/NAV!C1559-1,"")</f>
        <v/>
      </c>
    </row>
    <row r="1560">
      <c r="A1560">
        <f>NAV!A1561</f>
        <v/>
      </c>
      <c r="B1560">
        <f>IFERROR(NAV!B1561/NAV!B1560-1,"")</f>
        <v/>
      </c>
      <c r="C1560">
        <f>IFERROR(NAV!C1561/NAV!C1560-1,"")</f>
        <v/>
      </c>
    </row>
    <row r="1561">
      <c r="A1561">
        <f>NAV!A1562</f>
        <v/>
      </c>
      <c r="B1561">
        <f>IFERROR(NAV!B1562/NAV!B1561-1,"")</f>
        <v/>
      </c>
      <c r="C1561">
        <f>IFERROR(NAV!C1562/NAV!C1561-1,"")</f>
        <v/>
      </c>
    </row>
    <row r="1562">
      <c r="A1562">
        <f>NAV!A1563</f>
        <v/>
      </c>
      <c r="B1562">
        <f>IFERROR(NAV!B1563/NAV!B1562-1,"")</f>
        <v/>
      </c>
      <c r="C1562">
        <f>IFERROR(NAV!C1563/NAV!C1562-1,"")</f>
        <v/>
      </c>
    </row>
    <row r="1563">
      <c r="A1563">
        <f>NAV!A1564</f>
        <v/>
      </c>
      <c r="B1563">
        <f>IFERROR(NAV!B1564/NAV!B1563-1,"")</f>
        <v/>
      </c>
      <c r="C1563">
        <f>IFERROR(NAV!C1564/NAV!C1563-1,"")</f>
        <v/>
      </c>
    </row>
    <row r="1564">
      <c r="A1564">
        <f>NAV!A1565</f>
        <v/>
      </c>
      <c r="B1564">
        <f>IFERROR(NAV!B1565/NAV!B1564-1,"")</f>
        <v/>
      </c>
      <c r="C1564">
        <f>IFERROR(NAV!C1565/NAV!C1564-1,"")</f>
        <v/>
      </c>
    </row>
    <row r="1565">
      <c r="A1565">
        <f>NAV!A1566</f>
        <v/>
      </c>
      <c r="B1565">
        <f>IFERROR(NAV!B1566/NAV!B1565-1,"")</f>
        <v/>
      </c>
      <c r="C1565">
        <f>IFERROR(NAV!C1566/NAV!C1565-1,"")</f>
        <v/>
      </c>
    </row>
    <row r="1566">
      <c r="A1566">
        <f>NAV!A1567</f>
        <v/>
      </c>
      <c r="B1566">
        <f>IFERROR(NAV!B1567/NAV!B1566-1,"")</f>
        <v/>
      </c>
      <c r="C1566">
        <f>IFERROR(NAV!C1567/NAV!C1566-1,"")</f>
        <v/>
      </c>
    </row>
    <row r="1567">
      <c r="A1567">
        <f>NAV!A1568</f>
        <v/>
      </c>
      <c r="B1567">
        <f>IFERROR(NAV!B1568/NAV!B1567-1,"")</f>
        <v/>
      </c>
      <c r="C1567">
        <f>IFERROR(NAV!C1568/NAV!C1567-1,"")</f>
        <v/>
      </c>
    </row>
    <row r="1568">
      <c r="A1568">
        <f>NAV!A1569</f>
        <v/>
      </c>
      <c r="B1568">
        <f>IFERROR(NAV!B1569/NAV!B1568-1,"")</f>
        <v/>
      </c>
      <c r="C1568">
        <f>IFERROR(NAV!C1569/NAV!C1568-1,"")</f>
        <v/>
      </c>
    </row>
    <row r="1569">
      <c r="A1569">
        <f>NAV!A1570</f>
        <v/>
      </c>
      <c r="B1569">
        <f>IFERROR(NAV!B1570/NAV!B1569-1,"")</f>
        <v/>
      </c>
      <c r="C1569">
        <f>IFERROR(NAV!C1570/NAV!C1569-1,"")</f>
        <v/>
      </c>
    </row>
    <row r="1570">
      <c r="A1570">
        <f>NAV!A1571</f>
        <v/>
      </c>
      <c r="B1570">
        <f>IFERROR(NAV!B1571/NAV!B1570-1,"")</f>
        <v/>
      </c>
      <c r="C1570">
        <f>IFERROR(NAV!C1571/NAV!C1570-1,"")</f>
        <v/>
      </c>
    </row>
    <row r="1571">
      <c r="A1571">
        <f>NAV!A1572</f>
        <v/>
      </c>
      <c r="B1571">
        <f>IFERROR(NAV!B1572/NAV!B1571-1,"")</f>
        <v/>
      </c>
      <c r="C1571">
        <f>IFERROR(NAV!C1572/NAV!C1571-1,"")</f>
        <v/>
      </c>
    </row>
    <row r="1572">
      <c r="A1572">
        <f>NAV!A1573</f>
        <v/>
      </c>
      <c r="B1572">
        <f>IFERROR(NAV!B1573/NAV!B1572-1,"")</f>
        <v/>
      </c>
      <c r="C1572">
        <f>IFERROR(NAV!C1573/NAV!C1572-1,"")</f>
        <v/>
      </c>
    </row>
    <row r="1573">
      <c r="A1573">
        <f>NAV!A1574</f>
        <v/>
      </c>
      <c r="B1573">
        <f>IFERROR(NAV!B1574/NAV!B1573-1,"")</f>
        <v/>
      </c>
      <c r="C1573">
        <f>IFERROR(NAV!C1574/NAV!C1573-1,"")</f>
        <v/>
      </c>
    </row>
    <row r="1574">
      <c r="A1574">
        <f>NAV!A1575</f>
        <v/>
      </c>
      <c r="B1574">
        <f>IFERROR(NAV!B1575/NAV!B1574-1,"")</f>
        <v/>
      </c>
      <c r="C1574">
        <f>IFERROR(NAV!C1575/NAV!C1574-1,"")</f>
        <v/>
      </c>
    </row>
    <row r="1575">
      <c r="A1575">
        <f>NAV!A1576</f>
        <v/>
      </c>
      <c r="B1575">
        <f>IFERROR(NAV!B1576/NAV!B1575-1,"")</f>
        <v/>
      </c>
      <c r="C1575">
        <f>IFERROR(NAV!C1576/NAV!C1575-1,"")</f>
        <v/>
      </c>
    </row>
    <row r="1576">
      <c r="A1576">
        <f>NAV!A1577</f>
        <v/>
      </c>
      <c r="B1576">
        <f>IFERROR(NAV!B1577/NAV!B1576-1,"")</f>
        <v/>
      </c>
      <c r="C1576">
        <f>IFERROR(NAV!C1577/NAV!C1576-1,"")</f>
        <v/>
      </c>
    </row>
    <row r="1577">
      <c r="A1577">
        <f>NAV!A1578</f>
        <v/>
      </c>
      <c r="B1577">
        <f>IFERROR(NAV!B1578/NAV!B1577-1,"")</f>
        <v/>
      </c>
      <c r="C1577">
        <f>IFERROR(NAV!C1578/NAV!C1577-1,"")</f>
        <v/>
      </c>
    </row>
    <row r="1578">
      <c r="A1578">
        <f>NAV!A1579</f>
        <v/>
      </c>
      <c r="B1578">
        <f>IFERROR(NAV!B1579/NAV!B1578-1,"")</f>
        <v/>
      </c>
      <c r="C1578">
        <f>IFERROR(NAV!C1579/NAV!C1578-1,"")</f>
        <v/>
      </c>
    </row>
    <row r="1579">
      <c r="A1579">
        <f>NAV!A1580</f>
        <v/>
      </c>
      <c r="B1579">
        <f>IFERROR(NAV!B1580/NAV!B1579-1,"")</f>
        <v/>
      </c>
      <c r="C1579">
        <f>IFERROR(NAV!C1580/NAV!C1579-1,"")</f>
        <v/>
      </c>
    </row>
    <row r="1580">
      <c r="A1580">
        <f>NAV!A1581</f>
        <v/>
      </c>
      <c r="B1580">
        <f>IFERROR(NAV!B1581/NAV!B1580-1,"")</f>
        <v/>
      </c>
      <c r="C1580">
        <f>IFERROR(NAV!C1581/NAV!C1580-1,"")</f>
        <v/>
      </c>
    </row>
    <row r="1581">
      <c r="A1581">
        <f>NAV!A1582</f>
        <v/>
      </c>
      <c r="B1581">
        <f>IFERROR(NAV!B1582/NAV!B1581-1,"")</f>
        <v/>
      </c>
      <c r="C1581">
        <f>IFERROR(NAV!C1582/NAV!C1581-1,"")</f>
        <v/>
      </c>
    </row>
    <row r="1582">
      <c r="A1582">
        <f>NAV!A1583</f>
        <v/>
      </c>
      <c r="B1582">
        <f>IFERROR(NAV!B1583/NAV!B1582-1,"")</f>
        <v/>
      </c>
      <c r="C1582">
        <f>IFERROR(NAV!C1583/NAV!C1582-1,"")</f>
        <v/>
      </c>
    </row>
    <row r="1583">
      <c r="A1583">
        <f>NAV!A1584</f>
        <v/>
      </c>
      <c r="B1583">
        <f>IFERROR(NAV!B1584/NAV!B1583-1,"")</f>
        <v/>
      </c>
      <c r="C1583">
        <f>IFERROR(NAV!C1584/NAV!C1583-1,"")</f>
        <v/>
      </c>
    </row>
    <row r="1584">
      <c r="A1584">
        <f>NAV!A1585</f>
        <v/>
      </c>
      <c r="B1584">
        <f>IFERROR(NAV!B1585/NAV!B1584-1,"")</f>
        <v/>
      </c>
      <c r="C1584">
        <f>IFERROR(NAV!C1585/NAV!C1584-1,"")</f>
        <v/>
      </c>
    </row>
    <row r="1585">
      <c r="A1585">
        <f>NAV!A1586</f>
        <v/>
      </c>
      <c r="B1585">
        <f>IFERROR(NAV!B1586/NAV!B1585-1,"")</f>
        <v/>
      </c>
      <c r="C1585">
        <f>IFERROR(NAV!C1586/NAV!C1585-1,"")</f>
        <v/>
      </c>
    </row>
    <row r="1586">
      <c r="A1586">
        <f>NAV!A1587</f>
        <v/>
      </c>
      <c r="B1586">
        <f>IFERROR(NAV!B1587/NAV!B1586-1,"")</f>
        <v/>
      </c>
      <c r="C1586">
        <f>IFERROR(NAV!C1587/NAV!C1586-1,"")</f>
        <v/>
      </c>
    </row>
    <row r="1587">
      <c r="A1587">
        <f>NAV!A1588</f>
        <v/>
      </c>
      <c r="B1587">
        <f>IFERROR(NAV!B1588/NAV!B1587-1,"")</f>
        <v/>
      </c>
      <c r="C1587">
        <f>IFERROR(NAV!C1588/NAV!C1587-1,"")</f>
        <v/>
      </c>
    </row>
    <row r="1588">
      <c r="A1588">
        <f>NAV!A1589</f>
        <v/>
      </c>
      <c r="B1588">
        <f>IFERROR(NAV!B1589/NAV!B1588-1,"")</f>
        <v/>
      </c>
      <c r="C1588">
        <f>IFERROR(NAV!C1589/NAV!C1588-1,"")</f>
        <v/>
      </c>
    </row>
    <row r="1589">
      <c r="A1589">
        <f>NAV!A1590</f>
        <v/>
      </c>
      <c r="B1589">
        <f>IFERROR(NAV!B1590/NAV!B1589-1,"")</f>
        <v/>
      </c>
      <c r="C1589">
        <f>IFERROR(NAV!C1590/NAV!C1589-1,"")</f>
        <v/>
      </c>
    </row>
    <row r="1590">
      <c r="A1590">
        <f>NAV!A1591</f>
        <v/>
      </c>
      <c r="B1590">
        <f>IFERROR(NAV!B1591/NAV!B1590-1,"")</f>
        <v/>
      </c>
      <c r="C1590">
        <f>IFERROR(NAV!C1591/NAV!C1590-1,"")</f>
        <v/>
      </c>
    </row>
    <row r="1591">
      <c r="A1591">
        <f>NAV!A1592</f>
        <v/>
      </c>
      <c r="B1591">
        <f>IFERROR(NAV!B1592/NAV!B1591-1,"")</f>
        <v/>
      </c>
      <c r="C1591">
        <f>IFERROR(NAV!C1592/NAV!C1591-1,"")</f>
        <v/>
      </c>
    </row>
    <row r="1592">
      <c r="A1592">
        <f>NAV!A1593</f>
        <v/>
      </c>
      <c r="B1592">
        <f>IFERROR(NAV!B1593/NAV!B1592-1,"")</f>
        <v/>
      </c>
      <c r="C1592">
        <f>IFERROR(NAV!C1593/NAV!C1592-1,"")</f>
        <v/>
      </c>
    </row>
    <row r="1593">
      <c r="A1593">
        <f>NAV!A1594</f>
        <v/>
      </c>
      <c r="B1593">
        <f>IFERROR(NAV!B1594/NAV!B1593-1,"")</f>
        <v/>
      </c>
      <c r="C1593">
        <f>IFERROR(NAV!C1594/NAV!C1593-1,"")</f>
        <v/>
      </c>
    </row>
    <row r="1594">
      <c r="A1594">
        <f>NAV!A1595</f>
        <v/>
      </c>
      <c r="B1594">
        <f>IFERROR(NAV!B1595/NAV!B1594-1,"")</f>
        <v/>
      </c>
      <c r="C1594">
        <f>IFERROR(NAV!C1595/NAV!C1594-1,"")</f>
        <v/>
      </c>
    </row>
    <row r="1595">
      <c r="A1595">
        <f>NAV!A1596</f>
        <v/>
      </c>
      <c r="B1595">
        <f>IFERROR(NAV!B1596/NAV!B1595-1,"")</f>
        <v/>
      </c>
      <c r="C1595">
        <f>IFERROR(NAV!C1596/NAV!C1595-1,"")</f>
        <v/>
      </c>
    </row>
    <row r="1596">
      <c r="A1596">
        <f>NAV!A1597</f>
        <v/>
      </c>
      <c r="B1596">
        <f>IFERROR(NAV!B1597/NAV!B1596-1,"")</f>
        <v/>
      </c>
      <c r="C1596">
        <f>IFERROR(NAV!C1597/NAV!C1596-1,"")</f>
        <v/>
      </c>
    </row>
    <row r="1597">
      <c r="A1597">
        <f>NAV!A1598</f>
        <v/>
      </c>
      <c r="B1597">
        <f>IFERROR(NAV!B1598/NAV!B1597-1,"")</f>
        <v/>
      </c>
      <c r="C1597">
        <f>IFERROR(NAV!C1598/NAV!C1597-1,"")</f>
        <v/>
      </c>
    </row>
    <row r="1598">
      <c r="A1598">
        <f>NAV!A1599</f>
        <v/>
      </c>
      <c r="B1598">
        <f>IFERROR(NAV!B1599/NAV!B1598-1,"")</f>
        <v/>
      </c>
      <c r="C1598">
        <f>IFERROR(NAV!C1599/NAV!C1598-1,"")</f>
        <v/>
      </c>
    </row>
    <row r="1599">
      <c r="A1599">
        <f>NAV!A1600</f>
        <v/>
      </c>
      <c r="B1599">
        <f>IFERROR(NAV!B1600/NAV!B1599-1,"")</f>
        <v/>
      </c>
      <c r="C1599">
        <f>IFERROR(NAV!C1600/NAV!C1599-1,"")</f>
        <v/>
      </c>
    </row>
    <row r="1600">
      <c r="A1600">
        <f>NAV!A1601</f>
        <v/>
      </c>
      <c r="B1600">
        <f>IFERROR(NAV!B1601/NAV!B1600-1,"")</f>
        <v/>
      </c>
      <c r="C1600">
        <f>IFERROR(NAV!C1601/NAV!C1600-1,"")</f>
        <v/>
      </c>
    </row>
    <row r="1601">
      <c r="A1601">
        <f>NAV!A1602</f>
        <v/>
      </c>
      <c r="B1601">
        <f>IFERROR(NAV!B1602/NAV!B1601-1,"")</f>
        <v/>
      </c>
      <c r="C1601">
        <f>IFERROR(NAV!C1602/NAV!C1601-1,"")</f>
        <v/>
      </c>
    </row>
    <row r="1602">
      <c r="A1602">
        <f>NAV!A1603</f>
        <v/>
      </c>
      <c r="B1602">
        <f>IFERROR(NAV!B1603/NAV!B1602-1,"")</f>
        <v/>
      </c>
      <c r="C1602">
        <f>IFERROR(NAV!C1603/NAV!C1602-1,"")</f>
        <v/>
      </c>
    </row>
    <row r="1603">
      <c r="A1603">
        <f>NAV!A1604</f>
        <v/>
      </c>
      <c r="B1603">
        <f>IFERROR(NAV!B1604/NAV!B1603-1,"")</f>
        <v/>
      </c>
      <c r="C1603">
        <f>IFERROR(NAV!C1604/NAV!C1603-1,"")</f>
        <v/>
      </c>
    </row>
    <row r="1604">
      <c r="A1604">
        <f>NAV!A1605</f>
        <v/>
      </c>
      <c r="B1604">
        <f>IFERROR(NAV!B1605/NAV!B1604-1,"")</f>
        <v/>
      </c>
      <c r="C1604">
        <f>IFERROR(NAV!C1605/NAV!C1604-1,"")</f>
        <v/>
      </c>
    </row>
    <row r="1605">
      <c r="A1605">
        <f>NAV!A1606</f>
        <v/>
      </c>
      <c r="B1605">
        <f>IFERROR(NAV!B1606/NAV!B1605-1,"")</f>
        <v/>
      </c>
      <c r="C1605">
        <f>IFERROR(NAV!C1606/NAV!C1605-1,"")</f>
        <v/>
      </c>
    </row>
    <row r="1606">
      <c r="A1606">
        <f>NAV!A1607</f>
        <v/>
      </c>
      <c r="B1606">
        <f>IFERROR(NAV!B1607/NAV!B1606-1,"")</f>
        <v/>
      </c>
      <c r="C1606">
        <f>IFERROR(NAV!C1607/NAV!C1606-1,"")</f>
        <v/>
      </c>
    </row>
    <row r="1607">
      <c r="A1607">
        <f>NAV!A1608</f>
        <v/>
      </c>
      <c r="B1607">
        <f>IFERROR(NAV!B1608/NAV!B1607-1,"")</f>
        <v/>
      </c>
      <c r="C1607">
        <f>IFERROR(NAV!C1608/NAV!C1607-1,"")</f>
        <v/>
      </c>
    </row>
    <row r="1608">
      <c r="A1608">
        <f>NAV!A1609</f>
        <v/>
      </c>
      <c r="B1608">
        <f>IFERROR(NAV!B1609/NAV!B1608-1,"")</f>
        <v/>
      </c>
      <c r="C1608">
        <f>IFERROR(NAV!C1609/NAV!C1608-1,"")</f>
        <v/>
      </c>
    </row>
    <row r="1609">
      <c r="A1609">
        <f>NAV!A1610</f>
        <v/>
      </c>
      <c r="B1609">
        <f>IFERROR(NAV!B1610/NAV!B1609-1,"")</f>
        <v/>
      </c>
      <c r="C1609">
        <f>IFERROR(NAV!C1610/NAV!C1609-1,"")</f>
        <v/>
      </c>
    </row>
    <row r="1610">
      <c r="A1610">
        <f>NAV!A1611</f>
        <v/>
      </c>
      <c r="B1610">
        <f>IFERROR(NAV!B1611/NAV!B1610-1,"")</f>
        <v/>
      </c>
      <c r="C1610">
        <f>IFERROR(NAV!C1611/NAV!C1610-1,"")</f>
        <v/>
      </c>
    </row>
    <row r="1611">
      <c r="A1611">
        <f>NAV!A1612</f>
        <v/>
      </c>
      <c r="B1611">
        <f>IFERROR(NAV!B1612/NAV!B1611-1,"")</f>
        <v/>
      </c>
      <c r="C1611">
        <f>IFERROR(NAV!C1612/NAV!C1611-1,"")</f>
        <v/>
      </c>
    </row>
    <row r="1612">
      <c r="A1612">
        <f>NAV!A1613</f>
        <v/>
      </c>
      <c r="B1612">
        <f>IFERROR(NAV!B1613/NAV!B1612-1,"")</f>
        <v/>
      </c>
      <c r="C1612">
        <f>IFERROR(NAV!C1613/NAV!C1612-1,"")</f>
        <v/>
      </c>
    </row>
    <row r="1613">
      <c r="A1613">
        <f>NAV!A1614</f>
        <v/>
      </c>
      <c r="B1613">
        <f>IFERROR(NAV!B1614/NAV!B1613-1,"")</f>
        <v/>
      </c>
      <c r="C1613">
        <f>IFERROR(NAV!C1614/NAV!C1613-1,"")</f>
        <v/>
      </c>
    </row>
    <row r="1614">
      <c r="A1614">
        <f>NAV!A1615</f>
        <v/>
      </c>
      <c r="B1614">
        <f>IFERROR(NAV!B1615/NAV!B1614-1,"")</f>
        <v/>
      </c>
      <c r="C1614">
        <f>IFERROR(NAV!C1615/NAV!C1614-1,"")</f>
        <v/>
      </c>
    </row>
    <row r="1615">
      <c r="A1615">
        <f>NAV!A1616</f>
        <v/>
      </c>
      <c r="B1615">
        <f>IFERROR(NAV!B1616/NAV!B1615-1,"")</f>
        <v/>
      </c>
      <c r="C1615">
        <f>IFERROR(NAV!C1616/NAV!C1615-1,"")</f>
        <v/>
      </c>
    </row>
    <row r="1616">
      <c r="A1616">
        <f>NAV!A1617</f>
        <v/>
      </c>
      <c r="B1616">
        <f>IFERROR(NAV!B1617/NAV!B1616-1,"")</f>
        <v/>
      </c>
      <c r="C1616">
        <f>IFERROR(NAV!C1617/NAV!C1616-1,"")</f>
        <v/>
      </c>
    </row>
    <row r="1617">
      <c r="A1617">
        <f>NAV!A1618</f>
        <v/>
      </c>
      <c r="B1617">
        <f>IFERROR(NAV!B1618/NAV!B1617-1,"")</f>
        <v/>
      </c>
      <c r="C1617">
        <f>IFERROR(NAV!C1618/NAV!C1617-1,"")</f>
        <v/>
      </c>
    </row>
    <row r="1618">
      <c r="A1618">
        <f>NAV!A1619</f>
        <v/>
      </c>
      <c r="B1618">
        <f>IFERROR(NAV!B1619/NAV!B1618-1,"")</f>
        <v/>
      </c>
      <c r="C1618">
        <f>IFERROR(NAV!C1619/NAV!C1618-1,"")</f>
        <v/>
      </c>
    </row>
    <row r="1619">
      <c r="A1619">
        <f>NAV!A1620</f>
        <v/>
      </c>
      <c r="B1619">
        <f>IFERROR(NAV!B1620/NAV!B1619-1,"")</f>
        <v/>
      </c>
      <c r="C1619">
        <f>IFERROR(NAV!C1620/NAV!C1619-1,"")</f>
        <v/>
      </c>
    </row>
    <row r="1620">
      <c r="A1620">
        <f>NAV!A1621</f>
        <v/>
      </c>
      <c r="B1620">
        <f>IFERROR(NAV!B1621/NAV!B1620-1,"")</f>
        <v/>
      </c>
      <c r="C1620">
        <f>IFERROR(NAV!C1621/NAV!C1620-1,"")</f>
        <v/>
      </c>
    </row>
    <row r="1621">
      <c r="A1621">
        <f>NAV!A1622</f>
        <v/>
      </c>
      <c r="B1621">
        <f>IFERROR(NAV!B1622/NAV!B1621-1,"")</f>
        <v/>
      </c>
      <c r="C1621">
        <f>IFERROR(NAV!C1622/NAV!C1621-1,"")</f>
        <v/>
      </c>
    </row>
    <row r="1622">
      <c r="A1622">
        <f>NAV!A1623</f>
        <v/>
      </c>
      <c r="B1622">
        <f>IFERROR(NAV!B1623/NAV!B1622-1,"")</f>
        <v/>
      </c>
      <c r="C1622">
        <f>IFERROR(NAV!C1623/NAV!C1622-1,"")</f>
        <v/>
      </c>
    </row>
    <row r="1623">
      <c r="A1623">
        <f>NAV!A1624</f>
        <v/>
      </c>
      <c r="B1623">
        <f>IFERROR(NAV!B1624/NAV!B1623-1,"")</f>
        <v/>
      </c>
      <c r="C1623">
        <f>IFERROR(NAV!C1624/NAV!C1623-1,"")</f>
        <v/>
      </c>
    </row>
    <row r="1624">
      <c r="A1624">
        <f>NAV!A1625</f>
        <v/>
      </c>
      <c r="B1624">
        <f>IFERROR(NAV!B1625/NAV!B1624-1,"")</f>
        <v/>
      </c>
      <c r="C1624">
        <f>IFERROR(NAV!C1625/NAV!C1624-1,"")</f>
        <v/>
      </c>
    </row>
    <row r="1625">
      <c r="A1625">
        <f>NAV!A1626</f>
        <v/>
      </c>
      <c r="B1625">
        <f>IFERROR(NAV!B1626/NAV!B1625-1,"")</f>
        <v/>
      </c>
      <c r="C1625">
        <f>IFERROR(NAV!C1626/NAV!C1625-1,"")</f>
        <v/>
      </c>
    </row>
    <row r="1626">
      <c r="A1626">
        <f>NAV!A1627</f>
        <v/>
      </c>
      <c r="B1626">
        <f>IFERROR(NAV!B1627/NAV!B1626-1,"")</f>
        <v/>
      </c>
      <c r="C1626">
        <f>IFERROR(NAV!C1627/NAV!C1626-1,"")</f>
        <v/>
      </c>
    </row>
    <row r="1627">
      <c r="A1627">
        <f>NAV!A1628</f>
        <v/>
      </c>
      <c r="B1627">
        <f>IFERROR(NAV!B1628/NAV!B1627-1,"")</f>
        <v/>
      </c>
      <c r="C1627">
        <f>IFERROR(NAV!C1628/NAV!C1627-1,"")</f>
        <v/>
      </c>
    </row>
    <row r="1628">
      <c r="A1628">
        <f>NAV!A1629</f>
        <v/>
      </c>
      <c r="B1628">
        <f>IFERROR(NAV!B1629/NAV!B1628-1,"")</f>
        <v/>
      </c>
      <c r="C1628">
        <f>IFERROR(NAV!C1629/NAV!C1628-1,"")</f>
        <v/>
      </c>
    </row>
    <row r="1629">
      <c r="A1629">
        <f>NAV!A1630</f>
        <v/>
      </c>
      <c r="B1629">
        <f>IFERROR(NAV!B1630/NAV!B1629-1,"")</f>
        <v/>
      </c>
      <c r="C1629">
        <f>IFERROR(NAV!C1630/NAV!C1629-1,"")</f>
        <v/>
      </c>
    </row>
    <row r="1630">
      <c r="A1630">
        <f>NAV!A1631</f>
        <v/>
      </c>
      <c r="B1630">
        <f>IFERROR(NAV!B1631/NAV!B1630-1,"")</f>
        <v/>
      </c>
      <c r="C1630">
        <f>IFERROR(NAV!C1631/NAV!C1630-1,"")</f>
        <v/>
      </c>
    </row>
    <row r="1631">
      <c r="A1631">
        <f>NAV!A1632</f>
        <v/>
      </c>
      <c r="B1631">
        <f>IFERROR(NAV!B1632/NAV!B1631-1,"")</f>
        <v/>
      </c>
      <c r="C1631">
        <f>IFERROR(NAV!C1632/NAV!C1631-1,"")</f>
        <v/>
      </c>
    </row>
    <row r="1632">
      <c r="A1632">
        <f>NAV!A1633</f>
        <v/>
      </c>
      <c r="B1632">
        <f>IFERROR(NAV!B1633/NAV!B1632-1,"")</f>
        <v/>
      </c>
      <c r="C1632">
        <f>IFERROR(NAV!C1633/NAV!C1632-1,"")</f>
        <v/>
      </c>
    </row>
    <row r="1633">
      <c r="A1633">
        <f>NAV!A1634</f>
        <v/>
      </c>
      <c r="B1633">
        <f>IFERROR(NAV!B1634/NAV!B1633-1,"")</f>
        <v/>
      </c>
      <c r="C1633">
        <f>IFERROR(NAV!C1634/NAV!C1633-1,"")</f>
        <v/>
      </c>
    </row>
    <row r="1634">
      <c r="A1634">
        <f>NAV!A1635</f>
        <v/>
      </c>
      <c r="B1634">
        <f>IFERROR(NAV!B1635/NAV!B1634-1,"")</f>
        <v/>
      </c>
      <c r="C1634">
        <f>IFERROR(NAV!C1635/NAV!C1634-1,"")</f>
        <v/>
      </c>
    </row>
    <row r="1635">
      <c r="A1635">
        <f>NAV!A1636</f>
        <v/>
      </c>
      <c r="B1635">
        <f>IFERROR(NAV!B1636/NAV!B1635-1,"")</f>
        <v/>
      </c>
      <c r="C1635">
        <f>IFERROR(NAV!C1636/NAV!C1635-1,"")</f>
        <v/>
      </c>
    </row>
    <row r="1636">
      <c r="A1636">
        <f>NAV!A1637</f>
        <v/>
      </c>
      <c r="B1636">
        <f>IFERROR(NAV!B1637/NAV!B1636-1,"")</f>
        <v/>
      </c>
      <c r="C1636">
        <f>IFERROR(NAV!C1637/NAV!C1636-1,"")</f>
        <v/>
      </c>
    </row>
    <row r="1637">
      <c r="A1637">
        <f>NAV!A1638</f>
        <v/>
      </c>
      <c r="B1637">
        <f>IFERROR(NAV!B1638/NAV!B1637-1,"")</f>
        <v/>
      </c>
      <c r="C1637">
        <f>IFERROR(NAV!C1638/NAV!C1637-1,"")</f>
        <v/>
      </c>
    </row>
    <row r="1638">
      <c r="A1638">
        <f>NAV!A1639</f>
        <v/>
      </c>
      <c r="B1638">
        <f>IFERROR(NAV!B1639/NAV!B1638-1,"")</f>
        <v/>
      </c>
      <c r="C1638">
        <f>IFERROR(NAV!C1639/NAV!C1638-1,"")</f>
        <v/>
      </c>
    </row>
    <row r="1639">
      <c r="A1639">
        <f>NAV!A1640</f>
        <v/>
      </c>
      <c r="B1639">
        <f>IFERROR(NAV!B1640/NAV!B1639-1,"")</f>
        <v/>
      </c>
      <c r="C1639">
        <f>IFERROR(NAV!C1640/NAV!C1639-1,"")</f>
        <v/>
      </c>
    </row>
    <row r="1640">
      <c r="A1640">
        <f>NAV!A1641</f>
        <v/>
      </c>
      <c r="B1640">
        <f>IFERROR(NAV!B1641/NAV!B1640-1,"")</f>
        <v/>
      </c>
      <c r="C1640">
        <f>IFERROR(NAV!C1641/NAV!C1640-1,"")</f>
        <v/>
      </c>
    </row>
    <row r="1641">
      <c r="A1641">
        <f>NAV!A1642</f>
        <v/>
      </c>
      <c r="B1641">
        <f>IFERROR(NAV!B1642/NAV!B1641-1,"")</f>
        <v/>
      </c>
      <c r="C1641">
        <f>IFERROR(NAV!C1642/NAV!C1641-1,"")</f>
        <v/>
      </c>
    </row>
    <row r="1642">
      <c r="A1642">
        <f>NAV!A1643</f>
        <v/>
      </c>
      <c r="B1642">
        <f>IFERROR(NAV!B1643/NAV!B1642-1,"")</f>
        <v/>
      </c>
      <c r="C1642">
        <f>IFERROR(NAV!C1643/NAV!C1642-1,"")</f>
        <v/>
      </c>
    </row>
    <row r="1643">
      <c r="A1643">
        <f>NAV!A1644</f>
        <v/>
      </c>
      <c r="B1643">
        <f>IFERROR(NAV!B1644/NAV!B1643-1,"")</f>
        <v/>
      </c>
      <c r="C1643">
        <f>IFERROR(NAV!C1644/NAV!C1643-1,"")</f>
        <v/>
      </c>
    </row>
    <row r="1644">
      <c r="A1644">
        <f>NAV!A1645</f>
        <v/>
      </c>
      <c r="B1644">
        <f>IFERROR(NAV!B1645/NAV!B1644-1,"")</f>
        <v/>
      </c>
      <c r="C1644">
        <f>IFERROR(NAV!C1645/NAV!C1644-1,"")</f>
        <v/>
      </c>
    </row>
    <row r="1645">
      <c r="A1645">
        <f>NAV!A1646</f>
        <v/>
      </c>
      <c r="B1645">
        <f>IFERROR(NAV!B1646/NAV!B1645-1,"")</f>
        <v/>
      </c>
      <c r="C1645">
        <f>IFERROR(NAV!C1646/NAV!C1645-1,"")</f>
        <v/>
      </c>
    </row>
    <row r="1646">
      <c r="A1646">
        <f>NAV!A1647</f>
        <v/>
      </c>
      <c r="B1646">
        <f>IFERROR(NAV!B1647/NAV!B1646-1,"")</f>
        <v/>
      </c>
      <c r="C1646">
        <f>IFERROR(NAV!C1647/NAV!C1646-1,"")</f>
        <v/>
      </c>
    </row>
    <row r="1647">
      <c r="A1647">
        <f>NAV!A1648</f>
        <v/>
      </c>
      <c r="B1647">
        <f>IFERROR(NAV!B1648/NAV!B1647-1,"")</f>
        <v/>
      </c>
      <c r="C1647">
        <f>IFERROR(NAV!C1648/NAV!C1647-1,"")</f>
        <v/>
      </c>
    </row>
    <row r="1648">
      <c r="A1648">
        <f>NAV!A1649</f>
        <v/>
      </c>
      <c r="B1648">
        <f>IFERROR(NAV!B1649/NAV!B1648-1,"")</f>
        <v/>
      </c>
      <c r="C1648">
        <f>IFERROR(NAV!C1649/NAV!C1648-1,"")</f>
        <v/>
      </c>
    </row>
    <row r="1649">
      <c r="A1649">
        <f>NAV!A1650</f>
        <v/>
      </c>
      <c r="B1649">
        <f>IFERROR(NAV!B1650/NAV!B1649-1,"")</f>
        <v/>
      </c>
      <c r="C1649">
        <f>IFERROR(NAV!C1650/NAV!C1649-1,"")</f>
        <v/>
      </c>
    </row>
    <row r="1650">
      <c r="A1650">
        <f>NAV!A1651</f>
        <v/>
      </c>
      <c r="B1650">
        <f>IFERROR(NAV!B1651/NAV!B1650-1,"")</f>
        <v/>
      </c>
      <c r="C1650">
        <f>IFERROR(NAV!C1651/NAV!C1650-1,"")</f>
        <v/>
      </c>
    </row>
    <row r="1651">
      <c r="A1651">
        <f>NAV!A1652</f>
        <v/>
      </c>
      <c r="B1651">
        <f>IFERROR(NAV!B1652/NAV!B1651-1,"")</f>
        <v/>
      </c>
      <c r="C1651">
        <f>IFERROR(NAV!C1652/NAV!C1651-1,"")</f>
        <v/>
      </c>
    </row>
    <row r="1652">
      <c r="A1652">
        <f>NAV!A1653</f>
        <v/>
      </c>
      <c r="B1652">
        <f>IFERROR(NAV!B1653/NAV!B1652-1,"")</f>
        <v/>
      </c>
      <c r="C1652">
        <f>IFERROR(NAV!C1653/NAV!C1652-1,"")</f>
        <v/>
      </c>
    </row>
    <row r="1653">
      <c r="A1653">
        <f>NAV!A1654</f>
        <v/>
      </c>
      <c r="B1653">
        <f>IFERROR(NAV!B1654/NAV!B1653-1,"")</f>
        <v/>
      </c>
      <c r="C1653">
        <f>IFERROR(NAV!C1654/NAV!C1653-1,"")</f>
        <v/>
      </c>
    </row>
    <row r="1654">
      <c r="A1654">
        <f>NAV!A1655</f>
        <v/>
      </c>
      <c r="B1654">
        <f>IFERROR(NAV!B1655/NAV!B1654-1,"")</f>
        <v/>
      </c>
      <c r="C1654">
        <f>IFERROR(NAV!C1655/NAV!C1654-1,"")</f>
        <v/>
      </c>
    </row>
    <row r="1655">
      <c r="A1655">
        <f>NAV!A1656</f>
        <v/>
      </c>
      <c r="B1655">
        <f>IFERROR(NAV!B1656/NAV!B1655-1,"")</f>
        <v/>
      </c>
      <c r="C1655">
        <f>IFERROR(NAV!C1656/NAV!C1655-1,"")</f>
        <v/>
      </c>
    </row>
    <row r="1656">
      <c r="A1656">
        <f>NAV!A1657</f>
        <v/>
      </c>
      <c r="B1656">
        <f>IFERROR(NAV!B1657/NAV!B1656-1,"")</f>
        <v/>
      </c>
      <c r="C1656">
        <f>IFERROR(NAV!C1657/NAV!C1656-1,"")</f>
        <v/>
      </c>
    </row>
    <row r="1657">
      <c r="A1657">
        <f>NAV!A1658</f>
        <v/>
      </c>
      <c r="B1657">
        <f>IFERROR(NAV!B1658/NAV!B1657-1,"")</f>
        <v/>
      </c>
      <c r="C1657">
        <f>IFERROR(NAV!C1658/NAV!C1657-1,"")</f>
        <v/>
      </c>
    </row>
    <row r="1658">
      <c r="A1658">
        <f>NAV!A1659</f>
        <v/>
      </c>
      <c r="B1658">
        <f>IFERROR(NAV!B1659/NAV!B1658-1,"")</f>
        <v/>
      </c>
      <c r="C1658">
        <f>IFERROR(NAV!C1659/NAV!C1658-1,"")</f>
        <v/>
      </c>
    </row>
    <row r="1659">
      <c r="A1659">
        <f>NAV!A1660</f>
        <v/>
      </c>
      <c r="B1659">
        <f>IFERROR(NAV!B1660/NAV!B1659-1,"")</f>
        <v/>
      </c>
      <c r="C1659">
        <f>IFERROR(NAV!C1660/NAV!C1659-1,"")</f>
        <v/>
      </c>
    </row>
    <row r="1660">
      <c r="A1660">
        <f>NAV!A1661</f>
        <v/>
      </c>
      <c r="B1660">
        <f>IFERROR(NAV!B1661/NAV!B1660-1,"")</f>
        <v/>
      </c>
      <c r="C1660">
        <f>IFERROR(NAV!C1661/NAV!C1660-1,"")</f>
        <v/>
      </c>
    </row>
    <row r="1661">
      <c r="A1661">
        <f>NAV!A1662</f>
        <v/>
      </c>
      <c r="B1661">
        <f>IFERROR(NAV!B1662/NAV!B1661-1,"")</f>
        <v/>
      </c>
      <c r="C1661">
        <f>IFERROR(NAV!C1662/NAV!C1661-1,"")</f>
        <v/>
      </c>
    </row>
    <row r="1662">
      <c r="A1662">
        <f>NAV!A1663</f>
        <v/>
      </c>
      <c r="B1662">
        <f>IFERROR(NAV!B1663/NAV!B1662-1,"")</f>
        <v/>
      </c>
      <c r="C1662">
        <f>IFERROR(NAV!C1663/NAV!C1662-1,"")</f>
        <v/>
      </c>
    </row>
    <row r="1663">
      <c r="A1663">
        <f>NAV!A1664</f>
        <v/>
      </c>
      <c r="B1663">
        <f>IFERROR(NAV!B1664/NAV!B1663-1,"")</f>
        <v/>
      </c>
      <c r="C1663">
        <f>IFERROR(NAV!C1664/NAV!C1663-1,"")</f>
        <v/>
      </c>
    </row>
    <row r="1664">
      <c r="A1664">
        <f>NAV!A1665</f>
        <v/>
      </c>
      <c r="B1664">
        <f>IFERROR(NAV!B1665/NAV!B1664-1,"")</f>
        <v/>
      </c>
      <c r="C1664">
        <f>IFERROR(NAV!C1665/NAV!C1664-1,"")</f>
        <v/>
      </c>
    </row>
    <row r="1665">
      <c r="A1665">
        <f>NAV!A1666</f>
        <v/>
      </c>
      <c r="B1665">
        <f>IFERROR(NAV!B1666/NAV!B1665-1,"")</f>
        <v/>
      </c>
      <c r="C1665">
        <f>IFERROR(NAV!C1666/NAV!C1665-1,"")</f>
        <v/>
      </c>
    </row>
    <row r="1666">
      <c r="A1666">
        <f>NAV!A1667</f>
        <v/>
      </c>
      <c r="B1666">
        <f>IFERROR(NAV!B1667/NAV!B1666-1,"")</f>
        <v/>
      </c>
      <c r="C1666">
        <f>IFERROR(NAV!C1667/NAV!C1666-1,"")</f>
        <v/>
      </c>
    </row>
    <row r="1667">
      <c r="A1667">
        <f>NAV!A1668</f>
        <v/>
      </c>
      <c r="B1667">
        <f>IFERROR(NAV!B1668/NAV!B1667-1,"")</f>
        <v/>
      </c>
      <c r="C1667">
        <f>IFERROR(NAV!C1668/NAV!C1667-1,"")</f>
        <v/>
      </c>
    </row>
    <row r="1668">
      <c r="A1668">
        <f>NAV!A1669</f>
        <v/>
      </c>
      <c r="B1668">
        <f>IFERROR(NAV!B1669/NAV!B1668-1,"")</f>
        <v/>
      </c>
      <c r="C1668">
        <f>IFERROR(NAV!C1669/NAV!C1668-1,"")</f>
        <v/>
      </c>
    </row>
    <row r="1669">
      <c r="A1669">
        <f>NAV!A1670</f>
        <v/>
      </c>
      <c r="B1669">
        <f>IFERROR(NAV!B1670/NAV!B1669-1,"")</f>
        <v/>
      </c>
      <c r="C1669">
        <f>IFERROR(NAV!C1670/NAV!C1669-1,"")</f>
        <v/>
      </c>
    </row>
    <row r="1670">
      <c r="A1670">
        <f>NAV!A1671</f>
        <v/>
      </c>
      <c r="B1670">
        <f>IFERROR(NAV!B1671/NAV!B1670-1,"")</f>
        <v/>
      </c>
      <c r="C1670">
        <f>IFERROR(NAV!C1671/NAV!C1670-1,"")</f>
        <v/>
      </c>
    </row>
    <row r="1671">
      <c r="A1671">
        <f>NAV!A1672</f>
        <v/>
      </c>
      <c r="B1671">
        <f>IFERROR(NAV!B1672/NAV!B1671-1,"")</f>
        <v/>
      </c>
      <c r="C1671">
        <f>IFERROR(NAV!C1672/NAV!C1671-1,"")</f>
        <v/>
      </c>
    </row>
    <row r="1672">
      <c r="A1672">
        <f>NAV!A1673</f>
        <v/>
      </c>
      <c r="B1672">
        <f>IFERROR(NAV!B1673/NAV!B1672-1,"")</f>
        <v/>
      </c>
      <c r="C1672">
        <f>IFERROR(NAV!C1673/NAV!C1672-1,"")</f>
        <v/>
      </c>
    </row>
    <row r="1673">
      <c r="A1673">
        <f>NAV!A1674</f>
        <v/>
      </c>
      <c r="B1673">
        <f>IFERROR(NAV!B1674/NAV!B1673-1,"")</f>
        <v/>
      </c>
      <c r="C1673">
        <f>IFERROR(NAV!C1674/NAV!C1673-1,"")</f>
        <v/>
      </c>
    </row>
    <row r="1674">
      <c r="A1674">
        <f>NAV!A1675</f>
        <v/>
      </c>
      <c r="B1674">
        <f>IFERROR(NAV!B1675/NAV!B1674-1,"")</f>
        <v/>
      </c>
      <c r="C1674">
        <f>IFERROR(NAV!C1675/NAV!C1674-1,"")</f>
        <v/>
      </c>
    </row>
    <row r="1675">
      <c r="A1675">
        <f>NAV!A1676</f>
        <v/>
      </c>
      <c r="B1675">
        <f>IFERROR(NAV!B1676/NAV!B1675-1,"")</f>
        <v/>
      </c>
      <c r="C1675">
        <f>IFERROR(NAV!C1676/NAV!C1675-1,"")</f>
        <v/>
      </c>
    </row>
    <row r="1676">
      <c r="A1676">
        <f>NAV!A1677</f>
        <v/>
      </c>
      <c r="B1676">
        <f>IFERROR(NAV!B1677/NAV!B1676-1,"")</f>
        <v/>
      </c>
      <c r="C1676">
        <f>IFERROR(NAV!C1677/NAV!C1676-1,"")</f>
        <v/>
      </c>
    </row>
    <row r="1677">
      <c r="A1677">
        <f>NAV!A1678</f>
        <v/>
      </c>
      <c r="B1677">
        <f>IFERROR(NAV!B1678/NAV!B1677-1,"")</f>
        <v/>
      </c>
      <c r="C1677">
        <f>IFERROR(NAV!C1678/NAV!C1677-1,"")</f>
        <v/>
      </c>
    </row>
    <row r="1678">
      <c r="A1678">
        <f>NAV!A1679</f>
        <v/>
      </c>
      <c r="B1678">
        <f>IFERROR(NAV!B1679/NAV!B1678-1,"")</f>
        <v/>
      </c>
      <c r="C1678">
        <f>IFERROR(NAV!C1679/NAV!C1678-1,"")</f>
        <v/>
      </c>
    </row>
    <row r="1679">
      <c r="A1679">
        <f>NAV!A1680</f>
        <v/>
      </c>
      <c r="B1679">
        <f>IFERROR(NAV!B1680/NAV!B1679-1,"")</f>
        <v/>
      </c>
      <c r="C1679">
        <f>IFERROR(NAV!C1680/NAV!C1679-1,"")</f>
        <v/>
      </c>
    </row>
    <row r="1680">
      <c r="A1680">
        <f>NAV!A1681</f>
        <v/>
      </c>
      <c r="B1680">
        <f>IFERROR(NAV!B1681/NAV!B1680-1,"")</f>
        <v/>
      </c>
      <c r="C1680">
        <f>IFERROR(NAV!C1681/NAV!C1680-1,"")</f>
        <v/>
      </c>
    </row>
    <row r="1681">
      <c r="A1681">
        <f>NAV!A1682</f>
        <v/>
      </c>
      <c r="B1681">
        <f>IFERROR(NAV!B1682/NAV!B1681-1,"")</f>
        <v/>
      </c>
      <c r="C1681">
        <f>IFERROR(NAV!C1682/NAV!C1681-1,"")</f>
        <v/>
      </c>
    </row>
    <row r="1682">
      <c r="A1682">
        <f>NAV!A1683</f>
        <v/>
      </c>
      <c r="B1682">
        <f>IFERROR(NAV!B1683/NAV!B1682-1,"")</f>
        <v/>
      </c>
      <c r="C1682">
        <f>IFERROR(NAV!C1683/NAV!C1682-1,"")</f>
        <v/>
      </c>
    </row>
    <row r="1683">
      <c r="A1683">
        <f>NAV!A1684</f>
        <v/>
      </c>
      <c r="B1683">
        <f>IFERROR(NAV!B1684/NAV!B1683-1,"")</f>
        <v/>
      </c>
      <c r="C1683">
        <f>IFERROR(NAV!C1684/NAV!C1683-1,"")</f>
        <v/>
      </c>
    </row>
    <row r="1684">
      <c r="A1684">
        <f>NAV!A1685</f>
        <v/>
      </c>
      <c r="B1684">
        <f>IFERROR(NAV!B1685/NAV!B1684-1,"")</f>
        <v/>
      </c>
      <c r="C1684">
        <f>IFERROR(NAV!C1685/NAV!C1684-1,"")</f>
        <v/>
      </c>
    </row>
    <row r="1685">
      <c r="A1685">
        <f>NAV!A1686</f>
        <v/>
      </c>
      <c r="B1685">
        <f>IFERROR(NAV!B1686/NAV!B1685-1,"")</f>
        <v/>
      </c>
      <c r="C1685">
        <f>IFERROR(NAV!C1686/NAV!C1685-1,"")</f>
        <v/>
      </c>
    </row>
    <row r="1686">
      <c r="A1686">
        <f>NAV!A1687</f>
        <v/>
      </c>
      <c r="B1686">
        <f>IFERROR(NAV!B1687/NAV!B1686-1,"")</f>
        <v/>
      </c>
      <c r="C1686">
        <f>IFERROR(NAV!C1687/NAV!C1686-1,"")</f>
        <v/>
      </c>
    </row>
    <row r="1687">
      <c r="A1687">
        <f>NAV!A1688</f>
        <v/>
      </c>
      <c r="B1687">
        <f>IFERROR(NAV!B1688/NAV!B1687-1,"")</f>
        <v/>
      </c>
      <c r="C1687">
        <f>IFERROR(NAV!C1688/NAV!C1687-1,"")</f>
        <v/>
      </c>
    </row>
    <row r="1688">
      <c r="A1688">
        <f>NAV!A1689</f>
        <v/>
      </c>
      <c r="B1688">
        <f>IFERROR(NAV!B1689/NAV!B1688-1,"")</f>
        <v/>
      </c>
      <c r="C1688">
        <f>IFERROR(NAV!C1689/NAV!C1688-1,"")</f>
        <v/>
      </c>
    </row>
    <row r="1689">
      <c r="A1689">
        <f>NAV!A1690</f>
        <v/>
      </c>
      <c r="B1689">
        <f>IFERROR(NAV!B1690/NAV!B1689-1,"")</f>
        <v/>
      </c>
      <c r="C1689">
        <f>IFERROR(NAV!C1690/NAV!C1689-1,"")</f>
        <v/>
      </c>
    </row>
    <row r="1690">
      <c r="A1690">
        <f>NAV!A1691</f>
        <v/>
      </c>
      <c r="B1690">
        <f>IFERROR(NAV!B1691/NAV!B1690-1,"")</f>
        <v/>
      </c>
      <c r="C1690">
        <f>IFERROR(NAV!C1691/NAV!C1690-1,"")</f>
        <v/>
      </c>
    </row>
    <row r="1691">
      <c r="A1691">
        <f>NAV!A1692</f>
        <v/>
      </c>
      <c r="B1691">
        <f>IFERROR(NAV!B1692/NAV!B1691-1,"")</f>
        <v/>
      </c>
      <c r="C1691">
        <f>IFERROR(NAV!C1692/NAV!C1691-1,"")</f>
        <v/>
      </c>
    </row>
    <row r="1692">
      <c r="A1692">
        <f>NAV!A1693</f>
        <v/>
      </c>
      <c r="B1692">
        <f>IFERROR(NAV!B1693/NAV!B1692-1,"")</f>
        <v/>
      </c>
      <c r="C1692">
        <f>IFERROR(NAV!C1693/NAV!C1692-1,"")</f>
        <v/>
      </c>
    </row>
    <row r="1693">
      <c r="A1693">
        <f>NAV!A1694</f>
        <v/>
      </c>
      <c r="B1693">
        <f>IFERROR(NAV!B1694/NAV!B1693-1,"")</f>
        <v/>
      </c>
      <c r="C1693">
        <f>IFERROR(NAV!C1694/NAV!C1693-1,"")</f>
        <v/>
      </c>
    </row>
    <row r="1694">
      <c r="A1694">
        <f>NAV!A1695</f>
        <v/>
      </c>
      <c r="B1694">
        <f>IFERROR(NAV!B1695/NAV!B1694-1,"")</f>
        <v/>
      </c>
      <c r="C1694">
        <f>IFERROR(NAV!C1695/NAV!C1694-1,"")</f>
        <v/>
      </c>
    </row>
    <row r="1695">
      <c r="A1695">
        <f>NAV!A1696</f>
        <v/>
      </c>
      <c r="B1695">
        <f>IFERROR(NAV!B1696/NAV!B1695-1,"")</f>
        <v/>
      </c>
      <c r="C1695">
        <f>IFERROR(NAV!C1696/NAV!C1695-1,"")</f>
        <v/>
      </c>
    </row>
    <row r="1696">
      <c r="A1696">
        <f>NAV!A1697</f>
        <v/>
      </c>
      <c r="B1696">
        <f>IFERROR(NAV!B1697/NAV!B1696-1,"")</f>
        <v/>
      </c>
      <c r="C1696">
        <f>IFERROR(NAV!C1697/NAV!C1696-1,"")</f>
        <v/>
      </c>
    </row>
    <row r="1697">
      <c r="A1697">
        <f>NAV!A1698</f>
        <v/>
      </c>
      <c r="B1697">
        <f>IFERROR(NAV!B1698/NAV!B1697-1,"")</f>
        <v/>
      </c>
      <c r="C1697">
        <f>IFERROR(NAV!C1698/NAV!C1697-1,"")</f>
        <v/>
      </c>
    </row>
    <row r="1698">
      <c r="A1698">
        <f>NAV!A1699</f>
        <v/>
      </c>
      <c r="B1698">
        <f>IFERROR(NAV!B1699/NAV!B1698-1,"")</f>
        <v/>
      </c>
      <c r="C1698">
        <f>IFERROR(NAV!C1699/NAV!C1698-1,"")</f>
        <v/>
      </c>
    </row>
    <row r="1699">
      <c r="A1699">
        <f>NAV!A1700</f>
        <v/>
      </c>
      <c r="B1699">
        <f>IFERROR(NAV!B1700/NAV!B1699-1,"")</f>
        <v/>
      </c>
      <c r="C1699">
        <f>IFERROR(NAV!C1700/NAV!C1699-1,"")</f>
        <v/>
      </c>
    </row>
    <row r="1700">
      <c r="A1700">
        <f>NAV!A1701</f>
        <v/>
      </c>
      <c r="B1700">
        <f>IFERROR(NAV!B1701/NAV!B1700-1,"")</f>
        <v/>
      </c>
      <c r="C1700">
        <f>IFERROR(NAV!C1701/NAV!C1700-1,"")</f>
        <v/>
      </c>
    </row>
    <row r="1701">
      <c r="A1701">
        <f>NAV!A1702</f>
        <v/>
      </c>
      <c r="B1701">
        <f>IFERROR(NAV!B1702/NAV!B1701-1,"")</f>
        <v/>
      </c>
      <c r="C1701">
        <f>IFERROR(NAV!C1702/NAV!C1701-1,"")</f>
        <v/>
      </c>
    </row>
    <row r="1702">
      <c r="A1702">
        <f>NAV!A1703</f>
        <v/>
      </c>
      <c r="B1702">
        <f>IFERROR(NAV!B1703/NAV!B1702-1,"")</f>
        <v/>
      </c>
      <c r="C1702">
        <f>IFERROR(NAV!C1703/NAV!C1702-1,"")</f>
        <v/>
      </c>
    </row>
    <row r="1703">
      <c r="A1703">
        <f>NAV!A1704</f>
        <v/>
      </c>
      <c r="B1703">
        <f>IFERROR(NAV!B1704/NAV!B1703-1,"")</f>
        <v/>
      </c>
      <c r="C1703">
        <f>IFERROR(NAV!C1704/NAV!C1703-1,"")</f>
        <v/>
      </c>
    </row>
    <row r="1704">
      <c r="A1704">
        <f>NAV!A1705</f>
        <v/>
      </c>
      <c r="B1704">
        <f>IFERROR(NAV!B1705/NAV!B1704-1,"")</f>
        <v/>
      </c>
      <c r="C1704">
        <f>IFERROR(NAV!C1705/NAV!C1704-1,"")</f>
        <v/>
      </c>
    </row>
    <row r="1705">
      <c r="A1705">
        <f>NAV!A1706</f>
        <v/>
      </c>
      <c r="B1705">
        <f>IFERROR(NAV!B1706/NAV!B1705-1,"")</f>
        <v/>
      </c>
      <c r="C1705">
        <f>IFERROR(NAV!C1706/NAV!C1705-1,"")</f>
        <v/>
      </c>
    </row>
    <row r="1706">
      <c r="A1706">
        <f>NAV!A1707</f>
        <v/>
      </c>
      <c r="B1706">
        <f>IFERROR(NAV!B1707/NAV!B1706-1,"")</f>
        <v/>
      </c>
      <c r="C1706">
        <f>IFERROR(NAV!C1707/NAV!C1706-1,"")</f>
        <v/>
      </c>
    </row>
    <row r="1707">
      <c r="A1707">
        <f>NAV!A1708</f>
        <v/>
      </c>
      <c r="B1707">
        <f>IFERROR(NAV!B1708/NAV!B1707-1,"")</f>
        <v/>
      </c>
      <c r="C1707">
        <f>IFERROR(NAV!C1708/NAV!C1707-1,"")</f>
        <v/>
      </c>
    </row>
    <row r="1708">
      <c r="A1708">
        <f>NAV!A1709</f>
        <v/>
      </c>
      <c r="B1708">
        <f>IFERROR(NAV!B1709/NAV!B1708-1,"")</f>
        <v/>
      </c>
      <c r="C1708">
        <f>IFERROR(NAV!C1709/NAV!C1708-1,"")</f>
        <v/>
      </c>
    </row>
    <row r="1709">
      <c r="A1709">
        <f>NAV!A1710</f>
        <v/>
      </c>
      <c r="B1709">
        <f>IFERROR(NAV!B1710/NAV!B1709-1,"")</f>
        <v/>
      </c>
      <c r="C1709">
        <f>IFERROR(NAV!C1710/NAV!C1709-1,"")</f>
        <v/>
      </c>
    </row>
    <row r="1710">
      <c r="A1710">
        <f>NAV!A1711</f>
        <v/>
      </c>
      <c r="B1710">
        <f>IFERROR(NAV!B1711/NAV!B1710-1,"")</f>
        <v/>
      </c>
      <c r="C1710">
        <f>IFERROR(NAV!C1711/NAV!C1710-1,"")</f>
        <v/>
      </c>
    </row>
    <row r="1711">
      <c r="A1711">
        <f>NAV!A1712</f>
        <v/>
      </c>
      <c r="B1711">
        <f>IFERROR(NAV!B1712/NAV!B1711-1,"")</f>
        <v/>
      </c>
      <c r="C1711">
        <f>IFERROR(NAV!C1712/NAV!C1711-1,"")</f>
        <v/>
      </c>
    </row>
    <row r="1712">
      <c r="A1712">
        <f>NAV!A1713</f>
        <v/>
      </c>
      <c r="B1712">
        <f>IFERROR(NAV!B1713/NAV!B1712-1,"")</f>
        <v/>
      </c>
      <c r="C1712">
        <f>IFERROR(NAV!C1713/NAV!C1712-1,"")</f>
        <v/>
      </c>
    </row>
    <row r="1713">
      <c r="A1713">
        <f>NAV!A1714</f>
        <v/>
      </c>
      <c r="B1713">
        <f>IFERROR(NAV!B1714/NAV!B1713-1,"")</f>
        <v/>
      </c>
      <c r="C1713">
        <f>IFERROR(NAV!C1714/NAV!C1713-1,"")</f>
        <v/>
      </c>
    </row>
    <row r="1714">
      <c r="A1714">
        <f>NAV!A1715</f>
        <v/>
      </c>
      <c r="B1714">
        <f>IFERROR(NAV!B1715/NAV!B1714-1,"")</f>
        <v/>
      </c>
      <c r="C1714">
        <f>IFERROR(NAV!C1715/NAV!C1714-1,"")</f>
        <v/>
      </c>
    </row>
    <row r="1715">
      <c r="A1715">
        <f>NAV!A1716</f>
        <v/>
      </c>
      <c r="B1715">
        <f>IFERROR(NAV!B1716/NAV!B1715-1,"")</f>
        <v/>
      </c>
      <c r="C1715">
        <f>IFERROR(NAV!C1716/NAV!C1715-1,"")</f>
        <v/>
      </c>
    </row>
    <row r="1716">
      <c r="A1716">
        <f>NAV!A1717</f>
        <v/>
      </c>
      <c r="B1716">
        <f>IFERROR(NAV!B1717/NAV!B1716-1,"")</f>
        <v/>
      </c>
      <c r="C1716">
        <f>IFERROR(NAV!C1717/NAV!C1716-1,"")</f>
        <v/>
      </c>
    </row>
    <row r="1717">
      <c r="A1717">
        <f>NAV!A1718</f>
        <v/>
      </c>
      <c r="B1717">
        <f>IFERROR(NAV!B1718/NAV!B1717-1,"")</f>
        <v/>
      </c>
      <c r="C1717">
        <f>IFERROR(NAV!C1718/NAV!C1717-1,"")</f>
        <v/>
      </c>
    </row>
    <row r="1718">
      <c r="A1718">
        <f>NAV!A1719</f>
        <v/>
      </c>
      <c r="B1718">
        <f>IFERROR(NAV!B1719/NAV!B1718-1,"")</f>
        <v/>
      </c>
      <c r="C1718">
        <f>IFERROR(NAV!C1719/NAV!C1718-1,"")</f>
        <v/>
      </c>
    </row>
    <row r="1719">
      <c r="A1719">
        <f>NAV!A1720</f>
        <v/>
      </c>
      <c r="B1719">
        <f>IFERROR(NAV!B1720/NAV!B1719-1,"")</f>
        <v/>
      </c>
      <c r="C1719">
        <f>IFERROR(NAV!C1720/NAV!C1719-1,"")</f>
        <v/>
      </c>
    </row>
    <row r="1720">
      <c r="A1720">
        <f>NAV!A1721</f>
        <v/>
      </c>
      <c r="B1720">
        <f>IFERROR(NAV!B1721/NAV!B1720-1,"")</f>
        <v/>
      </c>
      <c r="C1720">
        <f>IFERROR(NAV!C1721/NAV!C1720-1,"")</f>
        <v/>
      </c>
    </row>
    <row r="1721">
      <c r="A1721">
        <f>NAV!A1722</f>
        <v/>
      </c>
      <c r="B1721">
        <f>IFERROR(NAV!B1722/NAV!B1721-1,"")</f>
        <v/>
      </c>
      <c r="C1721">
        <f>IFERROR(NAV!C1722/NAV!C1721-1,"")</f>
        <v/>
      </c>
    </row>
    <row r="1722">
      <c r="A1722">
        <f>NAV!A1723</f>
        <v/>
      </c>
      <c r="B1722">
        <f>IFERROR(NAV!B1723/NAV!B1722-1,"")</f>
        <v/>
      </c>
      <c r="C1722">
        <f>IFERROR(NAV!C1723/NAV!C1722-1,"")</f>
        <v/>
      </c>
    </row>
    <row r="1723">
      <c r="A1723">
        <f>NAV!A1724</f>
        <v/>
      </c>
      <c r="B1723">
        <f>IFERROR(NAV!B1724/NAV!B1723-1,"")</f>
        <v/>
      </c>
      <c r="C1723">
        <f>IFERROR(NAV!C1724/NAV!C1723-1,"")</f>
        <v/>
      </c>
    </row>
    <row r="1724">
      <c r="A1724">
        <f>NAV!A1725</f>
        <v/>
      </c>
      <c r="B1724">
        <f>IFERROR(NAV!B1725/NAV!B1724-1,"")</f>
        <v/>
      </c>
      <c r="C1724">
        <f>IFERROR(NAV!C1725/NAV!C1724-1,"")</f>
        <v/>
      </c>
    </row>
    <row r="1725">
      <c r="A1725">
        <f>NAV!A1726</f>
        <v/>
      </c>
      <c r="B1725">
        <f>IFERROR(NAV!B1726/NAV!B1725-1,"")</f>
        <v/>
      </c>
      <c r="C1725">
        <f>IFERROR(NAV!C1726/NAV!C1725-1,"")</f>
        <v/>
      </c>
    </row>
    <row r="1726">
      <c r="A1726">
        <f>NAV!A1727</f>
        <v/>
      </c>
      <c r="B1726">
        <f>IFERROR(NAV!B1727/NAV!B1726-1,"")</f>
        <v/>
      </c>
      <c r="C1726">
        <f>IFERROR(NAV!C1727/NAV!C1726-1,"")</f>
        <v/>
      </c>
    </row>
    <row r="1727">
      <c r="A1727">
        <f>NAV!A1728</f>
        <v/>
      </c>
      <c r="B1727">
        <f>IFERROR(NAV!B1728/NAV!B1727-1,"")</f>
        <v/>
      </c>
      <c r="C1727">
        <f>IFERROR(NAV!C1728/NAV!C1727-1,"")</f>
        <v/>
      </c>
    </row>
    <row r="1728">
      <c r="A1728">
        <f>NAV!A1729</f>
        <v/>
      </c>
      <c r="B1728">
        <f>IFERROR(NAV!B1729/NAV!B1728-1,"")</f>
        <v/>
      </c>
      <c r="C1728">
        <f>IFERROR(NAV!C1729/NAV!C1728-1,"")</f>
        <v/>
      </c>
    </row>
    <row r="1729">
      <c r="A1729">
        <f>NAV!A1730</f>
        <v/>
      </c>
      <c r="B1729">
        <f>IFERROR(NAV!B1730/NAV!B1729-1,"")</f>
        <v/>
      </c>
      <c r="C1729">
        <f>IFERROR(NAV!C1730/NAV!C1729-1,"")</f>
        <v/>
      </c>
    </row>
    <row r="1730">
      <c r="A1730">
        <f>NAV!A1731</f>
        <v/>
      </c>
      <c r="B1730">
        <f>IFERROR(NAV!B1731/NAV!B1730-1,"")</f>
        <v/>
      </c>
      <c r="C1730">
        <f>IFERROR(NAV!C1731/NAV!C1730-1,"")</f>
        <v/>
      </c>
    </row>
    <row r="1731">
      <c r="A1731">
        <f>NAV!A1732</f>
        <v/>
      </c>
      <c r="B1731">
        <f>IFERROR(NAV!B1732/NAV!B1731-1,"")</f>
        <v/>
      </c>
      <c r="C1731">
        <f>IFERROR(NAV!C1732/NAV!C1731-1,"")</f>
        <v/>
      </c>
    </row>
    <row r="1732">
      <c r="A1732">
        <f>NAV!A1733</f>
        <v/>
      </c>
      <c r="B1732">
        <f>IFERROR(NAV!B1733/NAV!B1732-1,"")</f>
        <v/>
      </c>
      <c r="C1732">
        <f>IFERROR(NAV!C1733/NAV!C1732-1,"")</f>
        <v/>
      </c>
    </row>
    <row r="1733">
      <c r="A1733">
        <f>NAV!A1734</f>
        <v/>
      </c>
      <c r="B1733">
        <f>IFERROR(NAV!B1734/NAV!B1733-1,"")</f>
        <v/>
      </c>
      <c r="C1733">
        <f>IFERROR(NAV!C1734/NAV!C1733-1,"")</f>
        <v/>
      </c>
    </row>
    <row r="1734">
      <c r="A1734">
        <f>NAV!A1735</f>
        <v/>
      </c>
      <c r="B1734">
        <f>IFERROR(NAV!B1735/NAV!B1734-1,"")</f>
        <v/>
      </c>
      <c r="C1734">
        <f>IFERROR(NAV!C1735/NAV!C1734-1,"")</f>
        <v/>
      </c>
    </row>
    <row r="1735">
      <c r="A1735">
        <f>NAV!A1736</f>
        <v/>
      </c>
      <c r="B1735">
        <f>IFERROR(NAV!B1736/NAV!B1735-1,"")</f>
        <v/>
      </c>
      <c r="C1735">
        <f>IFERROR(NAV!C1736/NAV!C1735-1,"")</f>
        <v/>
      </c>
    </row>
    <row r="1736">
      <c r="A1736">
        <f>NAV!A1737</f>
        <v/>
      </c>
      <c r="B1736">
        <f>IFERROR(NAV!B1737/NAV!B1736-1,"")</f>
        <v/>
      </c>
      <c r="C1736">
        <f>IFERROR(NAV!C1737/NAV!C1736-1,"")</f>
        <v/>
      </c>
    </row>
    <row r="1737">
      <c r="A1737">
        <f>NAV!A1738</f>
        <v/>
      </c>
      <c r="B1737">
        <f>IFERROR(NAV!B1738/NAV!B1737-1,"")</f>
        <v/>
      </c>
      <c r="C1737">
        <f>IFERROR(NAV!C1738/NAV!C1737-1,"")</f>
        <v/>
      </c>
    </row>
    <row r="1738">
      <c r="A1738">
        <f>NAV!A1739</f>
        <v/>
      </c>
      <c r="B1738">
        <f>IFERROR(NAV!B1739/NAV!B1738-1,"")</f>
        <v/>
      </c>
      <c r="C1738">
        <f>IFERROR(NAV!C1739/NAV!C1738-1,"")</f>
        <v/>
      </c>
    </row>
    <row r="1739">
      <c r="A1739">
        <f>NAV!A1740</f>
        <v/>
      </c>
      <c r="B1739">
        <f>IFERROR(NAV!B1740/NAV!B1739-1,"")</f>
        <v/>
      </c>
      <c r="C1739">
        <f>IFERROR(NAV!C1740/NAV!C1739-1,"")</f>
        <v/>
      </c>
    </row>
    <row r="1740">
      <c r="A1740">
        <f>NAV!A1741</f>
        <v/>
      </c>
      <c r="B1740">
        <f>IFERROR(NAV!B1741/NAV!B1740-1,"")</f>
        <v/>
      </c>
      <c r="C1740">
        <f>IFERROR(NAV!C1741/NAV!C1740-1,"")</f>
        <v/>
      </c>
    </row>
    <row r="1741">
      <c r="A1741">
        <f>NAV!A1742</f>
        <v/>
      </c>
      <c r="B1741">
        <f>IFERROR(NAV!B1742/NAV!B1741-1,"")</f>
        <v/>
      </c>
      <c r="C1741">
        <f>IFERROR(NAV!C1742/NAV!C1741-1,"")</f>
        <v/>
      </c>
    </row>
    <row r="1742">
      <c r="A1742">
        <f>NAV!A1743</f>
        <v/>
      </c>
      <c r="B1742">
        <f>IFERROR(NAV!B1743/NAV!B1742-1,"")</f>
        <v/>
      </c>
      <c r="C1742">
        <f>IFERROR(NAV!C1743/NAV!C1742-1,"")</f>
        <v/>
      </c>
    </row>
    <row r="1743">
      <c r="A1743">
        <f>NAV!A1744</f>
        <v/>
      </c>
      <c r="B1743">
        <f>IFERROR(NAV!B1744/NAV!B1743-1,"")</f>
        <v/>
      </c>
      <c r="C1743">
        <f>IFERROR(NAV!C1744/NAV!C1743-1,"")</f>
        <v/>
      </c>
    </row>
    <row r="1744">
      <c r="A1744">
        <f>NAV!A1745</f>
        <v/>
      </c>
      <c r="B1744">
        <f>IFERROR(NAV!B1745/NAV!B1744-1,"")</f>
        <v/>
      </c>
      <c r="C1744">
        <f>IFERROR(NAV!C1745/NAV!C1744-1,"")</f>
        <v/>
      </c>
    </row>
    <row r="1745">
      <c r="A1745">
        <f>NAV!A1746</f>
        <v/>
      </c>
      <c r="B1745">
        <f>IFERROR(NAV!B1746/NAV!B1745-1,"")</f>
        <v/>
      </c>
      <c r="C1745">
        <f>IFERROR(NAV!C1746/NAV!C1745-1,"")</f>
        <v/>
      </c>
    </row>
    <row r="1746">
      <c r="A1746">
        <f>NAV!A1747</f>
        <v/>
      </c>
      <c r="B1746">
        <f>IFERROR(NAV!B1747/NAV!B1746-1,"")</f>
        <v/>
      </c>
      <c r="C1746">
        <f>IFERROR(NAV!C1747/NAV!C1746-1,"")</f>
        <v/>
      </c>
    </row>
    <row r="1747">
      <c r="A1747">
        <f>NAV!A1748</f>
        <v/>
      </c>
      <c r="B1747">
        <f>IFERROR(NAV!B1748/NAV!B1747-1,"")</f>
        <v/>
      </c>
      <c r="C1747">
        <f>IFERROR(NAV!C1748/NAV!C1747-1,"")</f>
        <v/>
      </c>
    </row>
    <row r="1748">
      <c r="A1748">
        <f>NAV!A1749</f>
        <v/>
      </c>
      <c r="B1748">
        <f>IFERROR(NAV!B1749/NAV!B1748-1,"")</f>
        <v/>
      </c>
      <c r="C1748">
        <f>IFERROR(NAV!C1749/NAV!C1748-1,"")</f>
        <v/>
      </c>
    </row>
    <row r="1749">
      <c r="A1749">
        <f>NAV!A1750</f>
        <v/>
      </c>
      <c r="B1749">
        <f>IFERROR(NAV!B1750/NAV!B1749-1,"")</f>
        <v/>
      </c>
      <c r="C1749">
        <f>IFERROR(NAV!C1750/NAV!C1749-1,"")</f>
        <v/>
      </c>
    </row>
    <row r="1750">
      <c r="A1750">
        <f>NAV!A1751</f>
        <v/>
      </c>
      <c r="B1750">
        <f>IFERROR(NAV!B1751/NAV!B1750-1,"")</f>
        <v/>
      </c>
      <c r="C1750">
        <f>IFERROR(NAV!C1751/NAV!C1750-1,"")</f>
        <v/>
      </c>
    </row>
    <row r="1751">
      <c r="A1751">
        <f>NAV!A1752</f>
        <v/>
      </c>
      <c r="B1751">
        <f>IFERROR(NAV!B1752/NAV!B1751-1,"")</f>
        <v/>
      </c>
      <c r="C1751">
        <f>IFERROR(NAV!C1752/NAV!C1751-1,"")</f>
        <v/>
      </c>
    </row>
    <row r="1752">
      <c r="A1752">
        <f>NAV!A1753</f>
        <v/>
      </c>
      <c r="B1752">
        <f>IFERROR(NAV!B1753/NAV!B1752-1,"")</f>
        <v/>
      </c>
      <c r="C1752">
        <f>IFERROR(NAV!C1753/NAV!C1752-1,"")</f>
        <v/>
      </c>
    </row>
    <row r="1753">
      <c r="A1753">
        <f>NAV!A1754</f>
        <v/>
      </c>
      <c r="B1753">
        <f>IFERROR(NAV!B1754/NAV!B1753-1,"")</f>
        <v/>
      </c>
      <c r="C1753">
        <f>IFERROR(NAV!C1754/NAV!C1753-1,"")</f>
        <v/>
      </c>
    </row>
    <row r="1754">
      <c r="A1754">
        <f>NAV!A1755</f>
        <v/>
      </c>
      <c r="B1754">
        <f>IFERROR(NAV!B1755/NAV!B1754-1,"")</f>
        <v/>
      </c>
      <c r="C1754">
        <f>IFERROR(NAV!C1755/NAV!C1754-1,"")</f>
        <v/>
      </c>
    </row>
    <row r="1755">
      <c r="A1755">
        <f>NAV!A1756</f>
        <v/>
      </c>
      <c r="B1755">
        <f>IFERROR(NAV!B1756/NAV!B1755-1,"")</f>
        <v/>
      </c>
      <c r="C1755">
        <f>IFERROR(NAV!C1756/NAV!C1755-1,"")</f>
        <v/>
      </c>
    </row>
    <row r="1756">
      <c r="A1756">
        <f>NAV!A1757</f>
        <v/>
      </c>
      <c r="B1756">
        <f>IFERROR(NAV!B1757/NAV!B1756-1,"")</f>
        <v/>
      </c>
      <c r="C1756">
        <f>IFERROR(NAV!C1757/NAV!C1756-1,"")</f>
        <v/>
      </c>
    </row>
    <row r="1757">
      <c r="A1757">
        <f>NAV!A1758</f>
        <v/>
      </c>
      <c r="B1757">
        <f>IFERROR(NAV!B1758/NAV!B1757-1,"")</f>
        <v/>
      </c>
      <c r="C1757">
        <f>IFERROR(NAV!C1758/NAV!C1757-1,"")</f>
        <v/>
      </c>
    </row>
    <row r="1758">
      <c r="A1758">
        <f>NAV!A1759</f>
        <v/>
      </c>
      <c r="B1758">
        <f>IFERROR(NAV!B1759/NAV!B1758-1,"")</f>
        <v/>
      </c>
      <c r="C1758">
        <f>IFERROR(NAV!C1759/NAV!C1758-1,"")</f>
        <v/>
      </c>
    </row>
    <row r="1759">
      <c r="A1759">
        <f>NAV!A1760</f>
        <v/>
      </c>
      <c r="B1759">
        <f>IFERROR(NAV!B1760/NAV!B1759-1,"")</f>
        <v/>
      </c>
      <c r="C1759">
        <f>IFERROR(NAV!C1760/NAV!C1759-1,"")</f>
        <v/>
      </c>
    </row>
    <row r="1760">
      <c r="A1760">
        <f>NAV!A1761</f>
        <v/>
      </c>
      <c r="B1760">
        <f>IFERROR(NAV!B1761/NAV!B1760-1,"")</f>
        <v/>
      </c>
      <c r="C1760">
        <f>IFERROR(NAV!C1761/NAV!C1760-1,"")</f>
        <v/>
      </c>
    </row>
    <row r="1761">
      <c r="A1761">
        <f>NAV!A1762</f>
        <v/>
      </c>
      <c r="B1761">
        <f>IFERROR(NAV!B1762/NAV!B1761-1,"")</f>
        <v/>
      </c>
      <c r="C1761">
        <f>IFERROR(NAV!C1762/NAV!C1761-1,"")</f>
        <v/>
      </c>
    </row>
    <row r="1762">
      <c r="A1762">
        <f>NAV!A1763</f>
        <v/>
      </c>
      <c r="B1762">
        <f>IFERROR(NAV!B1763/NAV!B1762-1,"")</f>
        <v/>
      </c>
      <c r="C1762">
        <f>IFERROR(NAV!C1763/NAV!C1762-1,"")</f>
        <v/>
      </c>
    </row>
    <row r="1763">
      <c r="A1763">
        <f>NAV!A1764</f>
        <v/>
      </c>
      <c r="B1763">
        <f>IFERROR(NAV!B1764/NAV!B1763-1,"")</f>
        <v/>
      </c>
      <c r="C1763">
        <f>IFERROR(NAV!C1764/NAV!C1763-1,"")</f>
        <v/>
      </c>
    </row>
    <row r="1764">
      <c r="A1764">
        <f>NAV!A1765</f>
        <v/>
      </c>
      <c r="B1764">
        <f>IFERROR(NAV!B1765/NAV!B1764-1,"")</f>
        <v/>
      </c>
      <c r="C1764">
        <f>IFERROR(NAV!C1765/NAV!C1764-1,"")</f>
        <v/>
      </c>
    </row>
    <row r="1765">
      <c r="A1765">
        <f>NAV!A1766</f>
        <v/>
      </c>
      <c r="B1765">
        <f>IFERROR(NAV!B1766/NAV!B1765-1,"")</f>
        <v/>
      </c>
      <c r="C1765">
        <f>IFERROR(NAV!C1766/NAV!C1765-1,"")</f>
        <v/>
      </c>
    </row>
    <row r="1766">
      <c r="A1766">
        <f>NAV!A1767</f>
        <v/>
      </c>
      <c r="B1766">
        <f>IFERROR(NAV!B1767/NAV!B1766-1,"")</f>
        <v/>
      </c>
      <c r="C1766">
        <f>IFERROR(NAV!C1767/NAV!C1766-1,"")</f>
        <v/>
      </c>
    </row>
    <row r="1767">
      <c r="A1767">
        <f>NAV!A1768</f>
        <v/>
      </c>
      <c r="B1767">
        <f>IFERROR(NAV!B1768/NAV!B1767-1,"")</f>
        <v/>
      </c>
      <c r="C1767">
        <f>IFERROR(NAV!C1768/NAV!C1767-1,"")</f>
        <v/>
      </c>
    </row>
    <row r="1768">
      <c r="A1768">
        <f>NAV!A1769</f>
        <v/>
      </c>
      <c r="B1768">
        <f>IFERROR(NAV!B1769/NAV!B1768-1,"")</f>
        <v/>
      </c>
      <c r="C1768">
        <f>IFERROR(NAV!C1769/NAV!C1768-1,"")</f>
        <v/>
      </c>
    </row>
    <row r="1769">
      <c r="A1769">
        <f>NAV!A1770</f>
        <v/>
      </c>
      <c r="B1769">
        <f>IFERROR(NAV!B1770/NAV!B1769-1,"")</f>
        <v/>
      </c>
      <c r="C1769">
        <f>IFERROR(NAV!C1770/NAV!C1769-1,"")</f>
        <v/>
      </c>
    </row>
    <row r="1770">
      <c r="A1770">
        <f>NAV!A1771</f>
        <v/>
      </c>
      <c r="B1770">
        <f>IFERROR(NAV!B1771/NAV!B1770-1,"")</f>
        <v/>
      </c>
      <c r="C1770">
        <f>IFERROR(NAV!C1771/NAV!C1770-1,"")</f>
        <v/>
      </c>
    </row>
    <row r="1771">
      <c r="A1771">
        <f>NAV!A1772</f>
        <v/>
      </c>
      <c r="B1771">
        <f>IFERROR(NAV!B1772/NAV!B1771-1,"")</f>
        <v/>
      </c>
      <c r="C1771">
        <f>IFERROR(NAV!C1772/NAV!C1771-1,"")</f>
        <v/>
      </c>
    </row>
    <row r="1772">
      <c r="A1772">
        <f>NAV!A1773</f>
        <v/>
      </c>
      <c r="B1772">
        <f>IFERROR(NAV!B1773/NAV!B1772-1,"")</f>
        <v/>
      </c>
      <c r="C1772">
        <f>IFERROR(NAV!C1773/NAV!C1772-1,"")</f>
        <v/>
      </c>
    </row>
    <row r="1773">
      <c r="A1773">
        <f>NAV!A1774</f>
        <v/>
      </c>
      <c r="B1773">
        <f>IFERROR(NAV!B1774/NAV!B1773-1,"")</f>
        <v/>
      </c>
      <c r="C1773">
        <f>IFERROR(NAV!C1774/NAV!C1773-1,"")</f>
        <v/>
      </c>
    </row>
    <row r="1774">
      <c r="A1774">
        <f>NAV!A1775</f>
        <v/>
      </c>
      <c r="B1774">
        <f>IFERROR(NAV!B1775/NAV!B1774-1,"")</f>
        <v/>
      </c>
      <c r="C1774">
        <f>IFERROR(NAV!C1775/NAV!C1774-1,"")</f>
        <v/>
      </c>
    </row>
    <row r="1775">
      <c r="A1775">
        <f>NAV!A1776</f>
        <v/>
      </c>
      <c r="B1775">
        <f>IFERROR(NAV!B1776/NAV!B1775-1,"")</f>
        <v/>
      </c>
      <c r="C1775">
        <f>IFERROR(NAV!C1776/NAV!C1775-1,"")</f>
        <v/>
      </c>
    </row>
    <row r="1776">
      <c r="A1776">
        <f>NAV!A1777</f>
        <v/>
      </c>
      <c r="B1776">
        <f>IFERROR(NAV!B1777/NAV!B1776-1,"")</f>
        <v/>
      </c>
      <c r="C1776">
        <f>IFERROR(NAV!C1777/NAV!C1776-1,"")</f>
        <v/>
      </c>
    </row>
    <row r="1777">
      <c r="A1777">
        <f>NAV!A1778</f>
        <v/>
      </c>
      <c r="B1777">
        <f>IFERROR(NAV!B1778/NAV!B1777-1,"")</f>
        <v/>
      </c>
      <c r="C1777">
        <f>IFERROR(NAV!C1778/NAV!C1777-1,"")</f>
        <v/>
      </c>
    </row>
    <row r="1778">
      <c r="A1778">
        <f>NAV!A1779</f>
        <v/>
      </c>
      <c r="B1778">
        <f>IFERROR(NAV!B1779/NAV!B1778-1,"")</f>
        <v/>
      </c>
      <c r="C1778">
        <f>IFERROR(NAV!C1779/NAV!C1778-1,"")</f>
        <v/>
      </c>
    </row>
    <row r="1779">
      <c r="A1779">
        <f>NAV!A1780</f>
        <v/>
      </c>
      <c r="B1779">
        <f>IFERROR(NAV!B1780/NAV!B1779-1,"")</f>
        <v/>
      </c>
      <c r="C1779">
        <f>IFERROR(NAV!C1780/NAV!C1779-1,"")</f>
        <v/>
      </c>
    </row>
    <row r="1780">
      <c r="A1780">
        <f>NAV!A1781</f>
        <v/>
      </c>
      <c r="B1780">
        <f>IFERROR(NAV!B1781/NAV!B1780-1,"")</f>
        <v/>
      </c>
      <c r="C1780">
        <f>IFERROR(NAV!C1781/NAV!C1780-1,"")</f>
        <v/>
      </c>
    </row>
    <row r="1781">
      <c r="A1781">
        <f>NAV!A1782</f>
        <v/>
      </c>
      <c r="B1781">
        <f>IFERROR(NAV!B1782/NAV!B1781-1,"")</f>
        <v/>
      </c>
      <c r="C1781">
        <f>IFERROR(NAV!C1782/NAV!C1781-1,"")</f>
        <v/>
      </c>
    </row>
    <row r="1782">
      <c r="A1782">
        <f>NAV!A1783</f>
        <v/>
      </c>
      <c r="B1782">
        <f>IFERROR(NAV!B1783/NAV!B1782-1,"")</f>
        <v/>
      </c>
      <c r="C1782">
        <f>IFERROR(NAV!C1783/NAV!C1782-1,"")</f>
        <v/>
      </c>
    </row>
    <row r="1783">
      <c r="A1783">
        <f>NAV!A1784</f>
        <v/>
      </c>
      <c r="B1783">
        <f>IFERROR(NAV!B1784/NAV!B1783-1,"")</f>
        <v/>
      </c>
      <c r="C1783">
        <f>IFERROR(NAV!C1784/NAV!C1783-1,"")</f>
        <v/>
      </c>
    </row>
    <row r="1784">
      <c r="A1784">
        <f>NAV!A1785</f>
        <v/>
      </c>
      <c r="B1784">
        <f>IFERROR(NAV!B1785/NAV!B1784-1,"")</f>
        <v/>
      </c>
      <c r="C1784">
        <f>IFERROR(NAV!C1785/NAV!C1784-1,"")</f>
        <v/>
      </c>
    </row>
    <row r="1785">
      <c r="A1785">
        <f>NAV!A1786</f>
        <v/>
      </c>
      <c r="B1785">
        <f>IFERROR(NAV!B1786/NAV!B1785-1,"")</f>
        <v/>
      </c>
      <c r="C1785">
        <f>IFERROR(NAV!C1786/NAV!C1785-1,"")</f>
        <v/>
      </c>
    </row>
    <row r="1786">
      <c r="A1786">
        <f>NAV!A1787</f>
        <v/>
      </c>
      <c r="B1786">
        <f>IFERROR(NAV!B1787/NAV!B1786-1,"")</f>
        <v/>
      </c>
      <c r="C1786">
        <f>IFERROR(NAV!C1787/NAV!C1786-1,"")</f>
        <v/>
      </c>
    </row>
    <row r="1787">
      <c r="A1787">
        <f>NAV!A1788</f>
        <v/>
      </c>
      <c r="B1787">
        <f>IFERROR(NAV!B1788/NAV!B1787-1,"")</f>
        <v/>
      </c>
      <c r="C1787">
        <f>IFERROR(NAV!C1788/NAV!C1787-1,"")</f>
        <v/>
      </c>
    </row>
    <row r="1788">
      <c r="A1788">
        <f>NAV!A1789</f>
        <v/>
      </c>
      <c r="B1788">
        <f>IFERROR(NAV!B1789/NAV!B1788-1,"")</f>
        <v/>
      </c>
      <c r="C1788">
        <f>IFERROR(NAV!C1789/NAV!C1788-1,"")</f>
        <v/>
      </c>
    </row>
    <row r="1789">
      <c r="A1789">
        <f>NAV!A1790</f>
        <v/>
      </c>
      <c r="B1789">
        <f>IFERROR(NAV!B1790/NAV!B1789-1,"")</f>
        <v/>
      </c>
      <c r="C1789">
        <f>IFERROR(NAV!C1790/NAV!C1789-1,"")</f>
        <v/>
      </c>
    </row>
    <row r="1790">
      <c r="A1790">
        <f>NAV!A1791</f>
        <v/>
      </c>
      <c r="B1790">
        <f>IFERROR(NAV!B1791/NAV!B1790-1,"")</f>
        <v/>
      </c>
      <c r="C1790">
        <f>IFERROR(NAV!C1791/NAV!C1790-1,"")</f>
        <v/>
      </c>
    </row>
    <row r="1791">
      <c r="A1791">
        <f>NAV!A1792</f>
        <v/>
      </c>
      <c r="B1791">
        <f>IFERROR(NAV!B1792/NAV!B1791-1,"")</f>
        <v/>
      </c>
      <c r="C1791">
        <f>IFERROR(NAV!C1792/NAV!C1791-1,"")</f>
        <v/>
      </c>
    </row>
    <row r="1792">
      <c r="A1792">
        <f>NAV!A1793</f>
        <v/>
      </c>
      <c r="B1792">
        <f>IFERROR(NAV!B1793/NAV!B1792-1,"")</f>
        <v/>
      </c>
      <c r="C1792">
        <f>IFERROR(NAV!C1793/NAV!C1792-1,"")</f>
        <v/>
      </c>
    </row>
    <row r="1793">
      <c r="A1793">
        <f>NAV!A1794</f>
        <v/>
      </c>
      <c r="B1793">
        <f>IFERROR(NAV!B1794/NAV!B1793-1,"")</f>
        <v/>
      </c>
      <c r="C1793">
        <f>IFERROR(NAV!C1794/NAV!C1793-1,"")</f>
        <v/>
      </c>
    </row>
    <row r="1794">
      <c r="A1794">
        <f>NAV!A1795</f>
        <v/>
      </c>
      <c r="B1794">
        <f>IFERROR(NAV!B1795/NAV!B1794-1,"")</f>
        <v/>
      </c>
      <c r="C1794">
        <f>IFERROR(NAV!C1795/NAV!C1794-1,"")</f>
        <v/>
      </c>
    </row>
    <row r="1795">
      <c r="A1795">
        <f>NAV!A1796</f>
        <v/>
      </c>
      <c r="B1795">
        <f>IFERROR(NAV!B1796/NAV!B1795-1,"")</f>
        <v/>
      </c>
      <c r="C1795">
        <f>IFERROR(NAV!C1796/NAV!C1795-1,"")</f>
        <v/>
      </c>
    </row>
    <row r="1796">
      <c r="A1796">
        <f>NAV!A1797</f>
        <v/>
      </c>
      <c r="B1796">
        <f>IFERROR(NAV!B1797/NAV!B1796-1,"")</f>
        <v/>
      </c>
      <c r="C1796">
        <f>IFERROR(NAV!C1797/NAV!C1796-1,"")</f>
        <v/>
      </c>
    </row>
    <row r="1797">
      <c r="A1797">
        <f>NAV!A1798</f>
        <v/>
      </c>
      <c r="B1797">
        <f>IFERROR(NAV!B1798/NAV!B1797-1,"")</f>
        <v/>
      </c>
      <c r="C1797">
        <f>IFERROR(NAV!C1798/NAV!C1797-1,"")</f>
        <v/>
      </c>
    </row>
    <row r="1798">
      <c r="A1798">
        <f>NAV!A1799</f>
        <v/>
      </c>
      <c r="B1798">
        <f>IFERROR(NAV!B1799/NAV!B1798-1,"")</f>
        <v/>
      </c>
      <c r="C1798">
        <f>IFERROR(NAV!C1799/NAV!C1798-1,"")</f>
        <v/>
      </c>
    </row>
    <row r="1799">
      <c r="A1799">
        <f>NAV!A1800</f>
        <v/>
      </c>
      <c r="B1799">
        <f>IFERROR(NAV!B1800/NAV!B1799-1,"")</f>
        <v/>
      </c>
      <c r="C1799">
        <f>IFERROR(NAV!C1800/NAV!C1799-1,"")</f>
        <v/>
      </c>
    </row>
    <row r="1800">
      <c r="A1800">
        <f>NAV!A1801</f>
        <v/>
      </c>
      <c r="B1800">
        <f>IFERROR(NAV!B1801/NAV!B1800-1,"")</f>
        <v/>
      </c>
      <c r="C1800">
        <f>IFERROR(NAV!C1801/NAV!C1800-1,"")</f>
        <v/>
      </c>
    </row>
    <row r="1801">
      <c r="A1801">
        <f>NAV!A1802</f>
        <v/>
      </c>
      <c r="B1801">
        <f>IFERROR(NAV!B1802/NAV!B1801-1,"")</f>
        <v/>
      </c>
      <c r="C1801">
        <f>IFERROR(NAV!C1802/NAV!C1801-1,"")</f>
        <v/>
      </c>
    </row>
    <row r="1802">
      <c r="A1802">
        <f>NAV!A1803</f>
        <v/>
      </c>
      <c r="B1802">
        <f>IFERROR(NAV!B1803/NAV!B1802-1,"")</f>
        <v/>
      </c>
      <c r="C1802">
        <f>IFERROR(NAV!C1803/NAV!C1802-1,"")</f>
        <v/>
      </c>
    </row>
    <row r="1803">
      <c r="A1803">
        <f>NAV!A1804</f>
        <v/>
      </c>
      <c r="B1803">
        <f>IFERROR(NAV!B1804/NAV!B1803-1,"")</f>
        <v/>
      </c>
      <c r="C1803">
        <f>IFERROR(NAV!C1804/NAV!C1803-1,"")</f>
        <v/>
      </c>
    </row>
    <row r="1804">
      <c r="A1804">
        <f>NAV!A1805</f>
        <v/>
      </c>
      <c r="B1804">
        <f>IFERROR(NAV!B1805/NAV!B1804-1,"")</f>
        <v/>
      </c>
      <c r="C1804">
        <f>IFERROR(NAV!C1805/NAV!C1804-1,"")</f>
        <v/>
      </c>
    </row>
    <row r="1805">
      <c r="A1805">
        <f>NAV!A1806</f>
        <v/>
      </c>
      <c r="B1805">
        <f>IFERROR(NAV!B1806/NAV!B1805-1,"")</f>
        <v/>
      </c>
      <c r="C1805">
        <f>IFERROR(NAV!C1806/NAV!C1805-1,"")</f>
        <v/>
      </c>
    </row>
    <row r="1806">
      <c r="A1806">
        <f>NAV!A1807</f>
        <v/>
      </c>
      <c r="B1806">
        <f>IFERROR(NAV!B1807/NAV!B1806-1,"")</f>
        <v/>
      </c>
      <c r="C1806">
        <f>IFERROR(NAV!C1807/NAV!C1806-1,"")</f>
        <v/>
      </c>
    </row>
    <row r="1807">
      <c r="A1807">
        <f>NAV!A1808</f>
        <v/>
      </c>
      <c r="B1807">
        <f>IFERROR(NAV!B1808/NAV!B1807-1,"")</f>
        <v/>
      </c>
      <c r="C1807">
        <f>IFERROR(NAV!C1808/NAV!C1807-1,"")</f>
        <v/>
      </c>
    </row>
    <row r="1808">
      <c r="A1808">
        <f>NAV!A1809</f>
        <v/>
      </c>
      <c r="B1808">
        <f>IFERROR(NAV!B1809/NAV!B1808-1,"")</f>
        <v/>
      </c>
      <c r="C1808">
        <f>IFERROR(NAV!C1809/NAV!C1808-1,"")</f>
        <v/>
      </c>
    </row>
    <row r="1809">
      <c r="A1809">
        <f>NAV!A1810</f>
        <v/>
      </c>
      <c r="B1809">
        <f>IFERROR(NAV!B1810/NAV!B1809-1,"")</f>
        <v/>
      </c>
      <c r="C1809">
        <f>IFERROR(NAV!C1810/NAV!C1809-1,"")</f>
        <v/>
      </c>
    </row>
    <row r="1810">
      <c r="A1810">
        <f>NAV!A1811</f>
        <v/>
      </c>
      <c r="B1810">
        <f>IFERROR(NAV!B1811/NAV!B1810-1,"")</f>
        <v/>
      </c>
      <c r="C1810">
        <f>IFERROR(NAV!C1811/NAV!C1810-1,"")</f>
        <v/>
      </c>
    </row>
    <row r="1811">
      <c r="A1811">
        <f>NAV!A1812</f>
        <v/>
      </c>
      <c r="B1811">
        <f>IFERROR(NAV!B1812/NAV!B1811-1,"")</f>
        <v/>
      </c>
      <c r="C1811">
        <f>IFERROR(NAV!C1812/NAV!C1811-1,"")</f>
        <v/>
      </c>
    </row>
    <row r="1812">
      <c r="A1812">
        <f>NAV!A1813</f>
        <v/>
      </c>
      <c r="B1812">
        <f>IFERROR(NAV!B1813/NAV!B1812-1,"")</f>
        <v/>
      </c>
      <c r="C1812">
        <f>IFERROR(NAV!C1813/NAV!C1812-1,"")</f>
        <v/>
      </c>
    </row>
    <row r="1813">
      <c r="A1813">
        <f>NAV!A1814</f>
        <v/>
      </c>
      <c r="B1813">
        <f>IFERROR(NAV!B1814/NAV!B1813-1,"")</f>
        <v/>
      </c>
      <c r="C1813">
        <f>IFERROR(NAV!C1814/NAV!C1813-1,"")</f>
        <v/>
      </c>
    </row>
    <row r="1814">
      <c r="A1814">
        <f>NAV!A1815</f>
        <v/>
      </c>
      <c r="B1814">
        <f>IFERROR(NAV!B1815/NAV!B1814-1,"")</f>
        <v/>
      </c>
      <c r="C1814">
        <f>IFERROR(NAV!C1815/NAV!C1814-1,"")</f>
        <v/>
      </c>
    </row>
    <row r="1815">
      <c r="A1815">
        <f>NAV!A1816</f>
        <v/>
      </c>
      <c r="B1815">
        <f>IFERROR(NAV!B1816/NAV!B1815-1,"")</f>
        <v/>
      </c>
      <c r="C1815">
        <f>IFERROR(NAV!C1816/NAV!C1815-1,"")</f>
        <v/>
      </c>
    </row>
    <row r="1816">
      <c r="A1816">
        <f>NAV!A1817</f>
        <v/>
      </c>
      <c r="B1816">
        <f>IFERROR(NAV!B1817/NAV!B1816-1,"")</f>
        <v/>
      </c>
      <c r="C1816">
        <f>IFERROR(NAV!C1817/NAV!C1816-1,"")</f>
        <v/>
      </c>
    </row>
    <row r="1817">
      <c r="A1817">
        <f>NAV!A1818</f>
        <v/>
      </c>
      <c r="B1817">
        <f>IFERROR(NAV!B1818/NAV!B1817-1,"")</f>
        <v/>
      </c>
      <c r="C1817">
        <f>IFERROR(NAV!C1818/NAV!C1817-1,"")</f>
        <v/>
      </c>
    </row>
    <row r="1818">
      <c r="A1818">
        <f>NAV!A1819</f>
        <v/>
      </c>
      <c r="B1818">
        <f>IFERROR(NAV!B1819/NAV!B1818-1,"")</f>
        <v/>
      </c>
      <c r="C1818">
        <f>IFERROR(NAV!C1819/NAV!C1818-1,"")</f>
        <v/>
      </c>
    </row>
    <row r="1819">
      <c r="A1819">
        <f>NAV!A1820</f>
        <v/>
      </c>
      <c r="B1819">
        <f>IFERROR(NAV!B1820/NAV!B1819-1,"")</f>
        <v/>
      </c>
      <c r="C1819">
        <f>IFERROR(NAV!C1820/NAV!C1819-1,"")</f>
        <v/>
      </c>
    </row>
    <row r="1820">
      <c r="A1820">
        <f>NAV!A1821</f>
        <v/>
      </c>
      <c r="B1820">
        <f>IFERROR(NAV!B1821/NAV!B1820-1,"")</f>
        <v/>
      </c>
      <c r="C1820">
        <f>IFERROR(NAV!C1821/NAV!C1820-1,"")</f>
        <v/>
      </c>
    </row>
    <row r="1821">
      <c r="A1821">
        <f>NAV!A1822</f>
        <v/>
      </c>
      <c r="B1821">
        <f>IFERROR(NAV!B1822/NAV!B1821-1,"")</f>
        <v/>
      </c>
      <c r="C1821">
        <f>IFERROR(NAV!C1822/NAV!C1821-1,"")</f>
        <v/>
      </c>
    </row>
    <row r="1822">
      <c r="A1822">
        <f>NAV!A1823</f>
        <v/>
      </c>
      <c r="B1822">
        <f>IFERROR(NAV!B1823/NAV!B1822-1,"")</f>
        <v/>
      </c>
      <c r="C1822">
        <f>IFERROR(NAV!C1823/NAV!C1822-1,"")</f>
        <v/>
      </c>
    </row>
    <row r="1823">
      <c r="A1823">
        <f>NAV!A1824</f>
        <v/>
      </c>
      <c r="B1823">
        <f>IFERROR(NAV!B1824/NAV!B1823-1,"")</f>
        <v/>
      </c>
      <c r="C1823">
        <f>IFERROR(NAV!C1824/NAV!C1823-1,"")</f>
        <v/>
      </c>
    </row>
    <row r="1824">
      <c r="A1824">
        <f>NAV!A1825</f>
        <v/>
      </c>
      <c r="B1824">
        <f>IFERROR(NAV!B1825/NAV!B1824-1,"")</f>
        <v/>
      </c>
      <c r="C1824">
        <f>IFERROR(NAV!C1825/NAV!C1824-1,"")</f>
        <v/>
      </c>
    </row>
    <row r="1825">
      <c r="A1825">
        <f>NAV!A1826</f>
        <v/>
      </c>
      <c r="B1825">
        <f>IFERROR(NAV!B1826/NAV!B1825-1,"")</f>
        <v/>
      </c>
      <c r="C1825">
        <f>IFERROR(NAV!C1826/NAV!C1825-1,"")</f>
        <v/>
      </c>
    </row>
    <row r="1826">
      <c r="A1826">
        <f>NAV!A1827</f>
        <v/>
      </c>
      <c r="B1826">
        <f>IFERROR(NAV!B1827/NAV!B1826-1,"")</f>
        <v/>
      </c>
      <c r="C1826">
        <f>IFERROR(NAV!C1827/NAV!C1826-1,"")</f>
        <v/>
      </c>
    </row>
    <row r="1827">
      <c r="A1827">
        <f>NAV!A1828</f>
        <v/>
      </c>
      <c r="B1827">
        <f>IFERROR(NAV!B1828/NAV!B1827-1,"")</f>
        <v/>
      </c>
      <c r="C1827">
        <f>IFERROR(NAV!C1828/NAV!C1827-1,"")</f>
        <v/>
      </c>
    </row>
    <row r="1828">
      <c r="A1828">
        <f>NAV!A1829</f>
        <v/>
      </c>
      <c r="B1828">
        <f>IFERROR(NAV!B1829/NAV!B1828-1,"")</f>
        <v/>
      </c>
      <c r="C1828">
        <f>IFERROR(NAV!C1829/NAV!C1828-1,"")</f>
        <v/>
      </c>
    </row>
    <row r="1829">
      <c r="A1829">
        <f>NAV!A1830</f>
        <v/>
      </c>
      <c r="B1829">
        <f>IFERROR(NAV!B1830/NAV!B1829-1,"")</f>
        <v/>
      </c>
      <c r="C1829">
        <f>IFERROR(NAV!C1830/NAV!C1829-1,"")</f>
        <v/>
      </c>
    </row>
    <row r="1830">
      <c r="A1830">
        <f>NAV!A1831</f>
        <v/>
      </c>
      <c r="B1830">
        <f>IFERROR(NAV!B1831/NAV!B1830-1,"")</f>
        <v/>
      </c>
      <c r="C1830">
        <f>IFERROR(NAV!C1831/NAV!C1830-1,"")</f>
        <v/>
      </c>
    </row>
    <row r="1831">
      <c r="A1831">
        <f>NAV!A1832</f>
        <v/>
      </c>
      <c r="B1831">
        <f>IFERROR(NAV!B1832/NAV!B1831-1,"")</f>
        <v/>
      </c>
      <c r="C1831">
        <f>IFERROR(NAV!C1832/NAV!C1831-1,"")</f>
        <v/>
      </c>
    </row>
    <row r="1832">
      <c r="A1832">
        <f>NAV!A1833</f>
        <v/>
      </c>
      <c r="B1832">
        <f>IFERROR(NAV!B1833/NAV!B1832-1,"")</f>
        <v/>
      </c>
      <c r="C1832">
        <f>IFERROR(NAV!C1833/NAV!C1832-1,"")</f>
        <v/>
      </c>
    </row>
    <row r="1833">
      <c r="A1833">
        <f>NAV!A1834</f>
        <v/>
      </c>
      <c r="B1833">
        <f>IFERROR(NAV!B1834/NAV!B1833-1,"")</f>
        <v/>
      </c>
      <c r="C1833">
        <f>IFERROR(NAV!C1834/NAV!C1833-1,"")</f>
        <v/>
      </c>
    </row>
    <row r="1834">
      <c r="A1834">
        <f>NAV!A1835</f>
        <v/>
      </c>
      <c r="B1834">
        <f>IFERROR(NAV!B1835/NAV!B1834-1,"")</f>
        <v/>
      </c>
      <c r="C1834">
        <f>IFERROR(NAV!C1835/NAV!C1834-1,"")</f>
        <v/>
      </c>
    </row>
    <row r="1835">
      <c r="A1835">
        <f>NAV!A1836</f>
        <v/>
      </c>
      <c r="B1835">
        <f>IFERROR(NAV!B1836/NAV!B1835-1,"")</f>
        <v/>
      </c>
      <c r="C1835">
        <f>IFERROR(NAV!C1836/NAV!C1835-1,"")</f>
        <v/>
      </c>
    </row>
    <row r="1836">
      <c r="A1836">
        <f>NAV!A1837</f>
        <v/>
      </c>
      <c r="B1836">
        <f>IFERROR(NAV!B1837/NAV!B1836-1,"")</f>
        <v/>
      </c>
      <c r="C1836">
        <f>IFERROR(NAV!C1837/NAV!C1836-1,"")</f>
        <v/>
      </c>
    </row>
    <row r="1837">
      <c r="A1837">
        <f>NAV!A1838</f>
        <v/>
      </c>
      <c r="B1837">
        <f>IFERROR(NAV!B1838/NAV!B1837-1,"")</f>
        <v/>
      </c>
      <c r="C1837">
        <f>IFERROR(NAV!C1838/NAV!C1837-1,"")</f>
        <v/>
      </c>
    </row>
    <row r="1838">
      <c r="A1838">
        <f>NAV!A1839</f>
        <v/>
      </c>
      <c r="B1838">
        <f>IFERROR(NAV!B1839/NAV!B1838-1,"")</f>
        <v/>
      </c>
      <c r="C1838">
        <f>IFERROR(NAV!C1839/NAV!C1838-1,"")</f>
        <v/>
      </c>
    </row>
    <row r="1839">
      <c r="A1839">
        <f>NAV!A1840</f>
        <v/>
      </c>
      <c r="B1839">
        <f>IFERROR(NAV!B1840/NAV!B1839-1,"")</f>
        <v/>
      </c>
      <c r="C1839">
        <f>IFERROR(NAV!C1840/NAV!C1839-1,"")</f>
        <v/>
      </c>
    </row>
    <row r="1840">
      <c r="A1840">
        <f>NAV!A1841</f>
        <v/>
      </c>
      <c r="B1840">
        <f>IFERROR(NAV!B1841/NAV!B1840-1,"")</f>
        <v/>
      </c>
      <c r="C1840">
        <f>IFERROR(NAV!C1841/NAV!C1840-1,"")</f>
        <v/>
      </c>
    </row>
    <row r="1841">
      <c r="A1841">
        <f>NAV!A1842</f>
        <v/>
      </c>
      <c r="B1841">
        <f>IFERROR(NAV!B1842/NAV!B1841-1,"")</f>
        <v/>
      </c>
      <c r="C1841">
        <f>IFERROR(NAV!C1842/NAV!C1841-1,"")</f>
        <v/>
      </c>
    </row>
    <row r="1842">
      <c r="A1842">
        <f>NAV!A1843</f>
        <v/>
      </c>
      <c r="B1842">
        <f>IFERROR(NAV!B1843/NAV!B1842-1,"")</f>
        <v/>
      </c>
      <c r="C1842">
        <f>IFERROR(NAV!C1843/NAV!C1842-1,"")</f>
        <v/>
      </c>
    </row>
    <row r="1843">
      <c r="A1843">
        <f>NAV!A1844</f>
        <v/>
      </c>
      <c r="B1843">
        <f>IFERROR(NAV!B1844/NAV!B1843-1,"")</f>
        <v/>
      </c>
      <c r="C1843">
        <f>IFERROR(NAV!C1844/NAV!C1843-1,"")</f>
        <v/>
      </c>
    </row>
    <row r="1844">
      <c r="A1844">
        <f>NAV!A1845</f>
        <v/>
      </c>
      <c r="B1844">
        <f>IFERROR(NAV!B1845/NAV!B1844-1,"")</f>
        <v/>
      </c>
      <c r="C1844">
        <f>IFERROR(NAV!C1845/NAV!C1844-1,"")</f>
        <v/>
      </c>
    </row>
    <row r="1845">
      <c r="A1845">
        <f>NAV!A1846</f>
        <v/>
      </c>
      <c r="B1845">
        <f>IFERROR(NAV!B1846/NAV!B1845-1,"")</f>
        <v/>
      </c>
      <c r="C1845">
        <f>IFERROR(NAV!C1846/NAV!C1845-1,"")</f>
        <v/>
      </c>
    </row>
    <row r="1846">
      <c r="A1846">
        <f>NAV!A1847</f>
        <v/>
      </c>
      <c r="B1846">
        <f>IFERROR(NAV!B1847/NAV!B1846-1,"")</f>
        <v/>
      </c>
      <c r="C1846">
        <f>IFERROR(NAV!C1847/NAV!C1846-1,"")</f>
        <v/>
      </c>
    </row>
    <row r="1847">
      <c r="A1847">
        <f>NAV!A1848</f>
        <v/>
      </c>
      <c r="B1847">
        <f>IFERROR(NAV!B1848/NAV!B1847-1,"")</f>
        <v/>
      </c>
      <c r="C1847">
        <f>IFERROR(NAV!C1848/NAV!C1847-1,"")</f>
        <v/>
      </c>
    </row>
    <row r="1848">
      <c r="A1848">
        <f>NAV!A1849</f>
        <v/>
      </c>
      <c r="B1848">
        <f>IFERROR(NAV!B1849/NAV!B1848-1,"")</f>
        <v/>
      </c>
      <c r="C1848">
        <f>IFERROR(NAV!C1849/NAV!C1848-1,"")</f>
        <v/>
      </c>
    </row>
    <row r="1849">
      <c r="A1849">
        <f>NAV!A1850</f>
        <v/>
      </c>
      <c r="B1849">
        <f>IFERROR(NAV!B1850/NAV!B1849-1,"")</f>
        <v/>
      </c>
      <c r="C1849">
        <f>IFERROR(NAV!C1850/NAV!C1849-1,"")</f>
        <v/>
      </c>
    </row>
    <row r="1850">
      <c r="A1850">
        <f>NAV!A1851</f>
        <v/>
      </c>
      <c r="B1850">
        <f>IFERROR(NAV!B1851/NAV!B1850-1,"")</f>
        <v/>
      </c>
      <c r="C1850">
        <f>IFERROR(NAV!C1851/NAV!C1850-1,"")</f>
        <v/>
      </c>
    </row>
    <row r="1851">
      <c r="A1851">
        <f>NAV!A1852</f>
        <v/>
      </c>
      <c r="B1851">
        <f>IFERROR(NAV!B1852/NAV!B1851-1,"")</f>
        <v/>
      </c>
      <c r="C1851">
        <f>IFERROR(NAV!C1852/NAV!C1851-1,"")</f>
        <v/>
      </c>
    </row>
    <row r="1852">
      <c r="A1852">
        <f>NAV!A1853</f>
        <v/>
      </c>
      <c r="B1852">
        <f>IFERROR(NAV!B1853/NAV!B1852-1,"")</f>
        <v/>
      </c>
      <c r="C1852">
        <f>IFERROR(NAV!C1853/NAV!C1852-1,"")</f>
        <v/>
      </c>
    </row>
    <row r="1853">
      <c r="A1853">
        <f>NAV!A1854</f>
        <v/>
      </c>
      <c r="B1853">
        <f>IFERROR(NAV!B1854/NAV!B1853-1,"")</f>
        <v/>
      </c>
      <c r="C1853">
        <f>IFERROR(NAV!C1854/NAV!C1853-1,"")</f>
        <v/>
      </c>
    </row>
    <row r="1854">
      <c r="A1854">
        <f>NAV!A1855</f>
        <v/>
      </c>
      <c r="B1854">
        <f>IFERROR(NAV!B1855/NAV!B1854-1,"")</f>
        <v/>
      </c>
      <c r="C1854">
        <f>IFERROR(NAV!C1855/NAV!C1854-1,"")</f>
        <v/>
      </c>
    </row>
    <row r="1855">
      <c r="A1855">
        <f>NAV!A1856</f>
        <v/>
      </c>
      <c r="B1855">
        <f>IFERROR(NAV!B1856/NAV!B1855-1,"")</f>
        <v/>
      </c>
      <c r="C1855">
        <f>IFERROR(NAV!C1856/NAV!C1855-1,"")</f>
        <v/>
      </c>
    </row>
    <row r="1856">
      <c r="A1856">
        <f>NAV!A1857</f>
        <v/>
      </c>
      <c r="B1856">
        <f>IFERROR(NAV!B1857/NAV!B1856-1,"")</f>
        <v/>
      </c>
      <c r="C1856">
        <f>IFERROR(NAV!C1857/NAV!C1856-1,"")</f>
        <v/>
      </c>
    </row>
    <row r="1857">
      <c r="A1857">
        <f>NAV!A1858</f>
        <v/>
      </c>
      <c r="B1857">
        <f>IFERROR(NAV!B1858/NAV!B1857-1,"")</f>
        <v/>
      </c>
      <c r="C1857">
        <f>IFERROR(NAV!C1858/NAV!C1857-1,"")</f>
        <v/>
      </c>
    </row>
    <row r="1858">
      <c r="A1858">
        <f>NAV!A1859</f>
        <v/>
      </c>
      <c r="B1858">
        <f>IFERROR(NAV!B1859/NAV!B1858-1,"")</f>
        <v/>
      </c>
      <c r="C1858">
        <f>IFERROR(NAV!C1859/NAV!C1858-1,"")</f>
        <v/>
      </c>
    </row>
    <row r="1859">
      <c r="A1859">
        <f>NAV!A1860</f>
        <v/>
      </c>
      <c r="B1859">
        <f>IFERROR(NAV!B1860/NAV!B1859-1,"")</f>
        <v/>
      </c>
      <c r="C1859">
        <f>IFERROR(NAV!C1860/NAV!C1859-1,"")</f>
        <v/>
      </c>
    </row>
    <row r="1860">
      <c r="A1860">
        <f>NAV!A1861</f>
        <v/>
      </c>
      <c r="B1860">
        <f>IFERROR(NAV!B1861/NAV!B1860-1,"")</f>
        <v/>
      </c>
      <c r="C1860">
        <f>IFERROR(NAV!C1861/NAV!C1860-1,"")</f>
        <v/>
      </c>
    </row>
    <row r="1861">
      <c r="A1861">
        <f>NAV!A1862</f>
        <v/>
      </c>
      <c r="B1861">
        <f>IFERROR(NAV!B1862/NAV!B1861-1,"")</f>
        <v/>
      </c>
      <c r="C1861">
        <f>IFERROR(NAV!C1862/NAV!C1861-1,"")</f>
        <v/>
      </c>
    </row>
    <row r="1862">
      <c r="A1862">
        <f>NAV!A1863</f>
        <v/>
      </c>
      <c r="B1862">
        <f>IFERROR(NAV!B1863/NAV!B1862-1,"")</f>
        <v/>
      </c>
      <c r="C1862">
        <f>IFERROR(NAV!C1863/NAV!C1862-1,"")</f>
        <v/>
      </c>
    </row>
    <row r="1863">
      <c r="A1863">
        <f>NAV!A1864</f>
        <v/>
      </c>
      <c r="B1863">
        <f>IFERROR(NAV!B1864/NAV!B1863-1,"")</f>
        <v/>
      </c>
      <c r="C1863">
        <f>IFERROR(NAV!C1864/NAV!C1863-1,"")</f>
        <v/>
      </c>
    </row>
    <row r="1864">
      <c r="A1864">
        <f>NAV!A1865</f>
        <v/>
      </c>
      <c r="B1864">
        <f>IFERROR(NAV!B1865/NAV!B1864-1,"")</f>
        <v/>
      </c>
      <c r="C1864">
        <f>IFERROR(NAV!C1865/NAV!C1864-1,"")</f>
        <v/>
      </c>
    </row>
    <row r="1865">
      <c r="A1865">
        <f>NAV!A1866</f>
        <v/>
      </c>
      <c r="B1865">
        <f>IFERROR(NAV!B1866/NAV!B1865-1,"")</f>
        <v/>
      </c>
      <c r="C1865">
        <f>IFERROR(NAV!C1866/NAV!C1865-1,"")</f>
        <v/>
      </c>
    </row>
    <row r="1866">
      <c r="A1866">
        <f>NAV!A1867</f>
        <v/>
      </c>
      <c r="B1866">
        <f>IFERROR(NAV!B1867/NAV!B1866-1,"")</f>
        <v/>
      </c>
      <c r="C1866">
        <f>IFERROR(NAV!C1867/NAV!C1866-1,"")</f>
        <v/>
      </c>
    </row>
    <row r="1867">
      <c r="A1867">
        <f>NAV!A1868</f>
        <v/>
      </c>
      <c r="B1867">
        <f>IFERROR(NAV!B1868/NAV!B1867-1,"")</f>
        <v/>
      </c>
      <c r="C1867">
        <f>IFERROR(NAV!C1868/NAV!C1867-1,"")</f>
        <v/>
      </c>
    </row>
    <row r="1868">
      <c r="A1868">
        <f>NAV!A1869</f>
        <v/>
      </c>
      <c r="B1868">
        <f>IFERROR(NAV!B1869/NAV!B1868-1,"")</f>
        <v/>
      </c>
      <c r="C1868">
        <f>IFERROR(NAV!C1869/NAV!C1868-1,"")</f>
        <v/>
      </c>
    </row>
    <row r="1869">
      <c r="A1869">
        <f>NAV!A1870</f>
        <v/>
      </c>
      <c r="B1869">
        <f>IFERROR(NAV!B1870/NAV!B1869-1,"")</f>
        <v/>
      </c>
      <c r="C1869">
        <f>IFERROR(NAV!C1870/NAV!C1869-1,"")</f>
        <v/>
      </c>
    </row>
    <row r="1870">
      <c r="A1870">
        <f>NAV!A1871</f>
        <v/>
      </c>
      <c r="B1870">
        <f>IFERROR(NAV!B1871/NAV!B1870-1,"")</f>
        <v/>
      </c>
      <c r="C1870">
        <f>IFERROR(NAV!C1871/NAV!C1870-1,"")</f>
        <v/>
      </c>
    </row>
    <row r="1871">
      <c r="A1871">
        <f>NAV!A1872</f>
        <v/>
      </c>
      <c r="B1871">
        <f>IFERROR(NAV!B1872/NAV!B1871-1,"")</f>
        <v/>
      </c>
      <c r="C1871">
        <f>IFERROR(NAV!C1872/NAV!C1871-1,"")</f>
        <v/>
      </c>
    </row>
    <row r="1872">
      <c r="A1872">
        <f>NAV!A1873</f>
        <v/>
      </c>
      <c r="B1872">
        <f>IFERROR(NAV!B1873/NAV!B1872-1,"")</f>
        <v/>
      </c>
      <c r="C1872">
        <f>IFERROR(NAV!C1873/NAV!C1872-1,"")</f>
        <v/>
      </c>
    </row>
    <row r="1873">
      <c r="A1873">
        <f>NAV!A1874</f>
        <v/>
      </c>
      <c r="B1873">
        <f>IFERROR(NAV!B1874/NAV!B1873-1,"")</f>
        <v/>
      </c>
      <c r="C1873">
        <f>IFERROR(NAV!C1874/NAV!C1873-1,"")</f>
        <v/>
      </c>
    </row>
    <row r="1874">
      <c r="A1874">
        <f>NAV!A1875</f>
        <v/>
      </c>
      <c r="B1874">
        <f>IFERROR(NAV!B1875/NAV!B1874-1,"")</f>
        <v/>
      </c>
      <c r="C1874">
        <f>IFERROR(NAV!C1875/NAV!C1874-1,"")</f>
        <v/>
      </c>
    </row>
    <row r="1875">
      <c r="A1875">
        <f>NAV!A1876</f>
        <v/>
      </c>
      <c r="B1875">
        <f>IFERROR(NAV!B1876/NAV!B1875-1,"")</f>
        <v/>
      </c>
      <c r="C1875">
        <f>IFERROR(NAV!C1876/NAV!C1875-1,"")</f>
        <v/>
      </c>
    </row>
    <row r="1876">
      <c r="A1876">
        <f>NAV!A1877</f>
        <v/>
      </c>
      <c r="B1876">
        <f>IFERROR(NAV!B1877/NAV!B1876-1,"")</f>
        <v/>
      </c>
      <c r="C1876">
        <f>IFERROR(NAV!C1877/NAV!C1876-1,"")</f>
        <v/>
      </c>
    </row>
    <row r="1877">
      <c r="A1877">
        <f>NAV!A1878</f>
        <v/>
      </c>
      <c r="B1877">
        <f>IFERROR(NAV!B1878/NAV!B1877-1,"")</f>
        <v/>
      </c>
      <c r="C1877">
        <f>IFERROR(NAV!C1878/NAV!C1877-1,"")</f>
        <v/>
      </c>
    </row>
    <row r="1878">
      <c r="A1878">
        <f>NAV!A1879</f>
        <v/>
      </c>
      <c r="B1878">
        <f>IFERROR(NAV!B1879/NAV!B1878-1,"")</f>
        <v/>
      </c>
      <c r="C1878">
        <f>IFERROR(NAV!C1879/NAV!C1878-1,"")</f>
        <v/>
      </c>
    </row>
    <row r="1879">
      <c r="A1879">
        <f>NAV!A1880</f>
        <v/>
      </c>
      <c r="B1879">
        <f>IFERROR(NAV!B1880/NAV!B1879-1,"")</f>
        <v/>
      </c>
      <c r="C1879">
        <f>IFERROR(NAV!C1880/NAV!C1879-1,"")</f>
        <v/>
      </c>
    </row>
    <row r="1880">
      <c r="A1880">
        <f>NAV!A1881</f>
        <v/>
      </c>
      <c r="B1880">
        <f>IFERROR(NAV!B1881/NAV!B1880-1,"")</f>
        <v/>
      </c>
      <c r="C1880">
        <f>IFERROR(NAV!C1881/NAV!C1880-1,"")</f>
        <v/>
      </c>
    </row>
    <row r="1881">
      <c r="A1881">
        <f>NAV!A1882</f>
        <v/>
      </c>
      <c r="B1881">
        <f>IFERROR(NAV!B1882/NAV!B1881-1,"")</f>
        <v/>
      </c>
      <c r="C1881">
        <f>IFERROR(NAV!C1882/NAV!C1881-1,"")</f>
        <v/>
      </c>
    </row>
    <row r="1882">
      <c r="A1882">
        <f>NAV!A1883</f>
        <v/>
      </c>
      <c r="B1882">
        <f>IFERROR(NAV!B1883/NAV!B1882-1,"")</f>
        <v/>
      </c>
      <c r="C1882">
        <f>IFERROR(NAV!C1883/NAV!C1882-1,"")</f>
        <v/>
      </c>
    </row>
    <row r="1883">
      <c r="A1883">
        <f>NAV!A1884</f>
        <v/>
      </c>
      <c r="B1883">
        <f>IFERROR(NAV!B1884/NAV!B1883-1,"")</f>
        <v/>
      </c>
      <c r="C1883">
        <f>IFERROR(NAV!C1884/NAV!C1883-1,"")</f>
        <v/>
      </c>
    </row>
    <row r="1884">
      <c r="A1884">
        <f>NAV!A1885</f>
        <v/>
      </c>
      <c r="B1884">
        <f>IFERROR(NAV!B1885/NAV!B1884-1,"")</f>
        <v/>
      </c>
      <c r="C1884">
        <f>IFERROR(NAV!C1885/NAV!C1884-1,"")</f>
        <v/>
      </c>
    </row>
    <row r="1885">
      <c r="A1885">
        <f>NAV!A1886</f>
        <v/>
      </c>
      <c r="B1885">
        <f>IFERROR(NAV!B1886/NAV!B1885-1,"")</f>
        <v/>
      </c>
      <c r="C1885">
        <f>IFERROR(NAV!C1886/NAV!C1885-1,"")</f>
        <v/>
      </c>
    </row>
    <row r="1886">
      <c r="A1886">
        <f>NAV!A1887</f>
        <v/>
      </c>
      <c r="B1886">
        <f>IFERROR(NAV!B1887/NAV!B1886-1,"")</f>
        <v/>
      </c>
      <c r="C1886">
        <f>IFERROR(NAV!C1887/NAV!C1886-1,"")</f>
        <v/>
      </c>
    </row>
    <row r="1887">
      <c r="A1887">
        <f>NAV!A1888</f>
        <v/>
      </c>
      <c r="B1887">
        <f>IFERROR(NAV!B1888/NAV!B1887-1,"")</f>
        <v/>
      </c>
      <c r="C1887">
        <f>IFERROR(NAV!C1888/NAV!C1887-1,"")</f>
        <v/>
      </c>
    </row>
    <row r="1888">
      <c r="A1888">
        <f>NAV!A1889</f>
        <v/>
      </c>
      <c r="B1888">
        <f>IFERROR(NAV!B1889/NAV!B1888-1,"")</f>
        <v/>
      </c>
      <c r="C1888">
        <f>IFERROR(NAV!C1889/NAV!C1888-1,"")</f>
        <v/>
      </c>
    </row>
    <row r="1889">
      <c r="A1889">
        <f>NAV!A1890</f>
        <v/>
      </c>
      <c r="B1889">
        <f>IFERROR(NAV!B1890/NAV!B1889-1,"")</f>
        <v/>
      </c>
      <c r="C1889">
        <f>IFERROR(NAV!C1890/NAV!C1889-1,"")</f>
        <v/>
      </c>
    </row>
    <row r="1890">
      <c r="A1890">
        <f>NAV!A1891</f>
        <v/>
      </c>
      <c r="B1890">
        <f>IFERROR(NAV!B1891/NAV!B1890-1,"")</f>
        <v/>
      </c>
      <c r="C1890">
        <f>IFERROR(NAV!C1891/NAV!C1890-1,"")</f>
        <v/>
      </c>
    </row>
    <row r="1891">
      <c r="A1891">
        <f>NAV!A1892</f>
        <v/>
      </c>
      <c r="B1891">
        <f>IFERROR(NAV!B1892/NAV!B1891-1,"")</f>
        <v/>
      </c>
      <c r="C1891">
        <f>IFERROR(NAV!C1892/NAV!C1891-1,"")</f>
        <v/>
      </c>
    </row>
    <row r="1892">
      <c r="A1892">
        <f>NAV!A1893</f>
        <v/>
      </c>
      <c r="B1892">
        <f>IFERROR(NAV!B1893/NAV!B1892-1,"")</f>
        <v/>
      </c>
      <c r="C1892">
        <f>IFERROR(NAV!C1893/NAV!C1892-1,"")</f>
        <v/>
      </c>
    </row>
    <row r="1893">
      <c r="A1893">
        <f>NAV!A1894</f>
        <v/>
      </c>
      <c r="B1893">
        <f>IFERROR(NAV!B1894/NAV!B1893-1,"")</f>
        <v/>
      </c>
      <c r="C1893">
        <f>IFERROR(NAV!C1894/NAV!C1893-1,"")</f>
        <v/>
      </c>
    </row>
    <row r="1894">
      <c r="A1894">
        <f>NAV!A1895</f>
        <v/>
      </c>
      <c r="B1894">
        <f>IFERROR(NAV!B1895/NAV!B1894-1,"")</f>
        <v/>
      </c>
      <c r="C1894">
        <f>IFERROR(NAV!C1895/NAV!C1894-1,"")</f>
        <v/>
      </c>
    </row>
    <row r="1895">
      <c r="A1895">
        <f>NAV!A1896</f>
        <v/>
      </c>
      <c r="B1895">
        <f>IFERROR(NAV!B1896/NAV!B1895-1,"")</f>
        <v/>
      </c>
      <c r="C1895">
        <f>IFERROR(NAV!C1896/NAV!C1895-1,"")</f>
        <v/>
      </c>
    </row>
    <row r="1896">
      <c r="A1896">
        <f>NAV!A1897</f>
        <v/>
      </c>
      <c r="B1896">
        <f>IFERROR(NAV!B1897/NAV!B1896-1,"")</f>
        <v/>
      </c>
      <c r="C1896">
        <f>IFERROR(NAV!C1897/NAV!C1896-1,"")</f>
        <v/>
      </c>
    </row>
    <row r="1897">
      <c r="A1897">
        <f>NAV!A1898</f>
        <v/>
      </c>
      <c r="B1897">
        <f>IFERROR(NAV!B1898/NAV!B1897-1,"")</f>
        <v/>
      </c>
      <c r="C1897">
        <f>IFERROR(NAV!C1898/NAV!C1897-1,"")</f>
        <v/>
      </c>
    </row>
    <row r="1898">
      <c r="A1898">
        <f>NAV!A1899</f>
        <v/>
      </c>
      <c r="B1898">
        <f>IFERROR(NAV!B1899/NAV!B1898-1,"")</f>
        <v/>
      </c>
      <c r="C1898">
        <f>IFERROR(NAV!C1899/NAV!C1898-1,"")</f>
        <v/>
      </c>
    </row>
    <row r="1899">
      <c r="A1899">
        <f>NAV!A1900</f>
        <v/>
      </c>
      <c r="B1899">
        <f>IFERROR(NAV!B1900/NAV!B1899-1,"")</f>
        <v/>
      </c>
      <c r="C1899">
        <f>IFERROR(NAV!C1900/NAV!C1899-1,"")</f>
        <v/>
      </c>
    </row>
    <row r="1900">
      <c r="A1900">
        <f>NAV!A1901</f>
        <v/>
      </c>
      <c r="B1900">
        <f>IFERROR(NAV!B1901/NAV!B1900-1,"")</f>
        <v/>
      </c>
      <c r="C1900">
        <f>IFERROR(NAV!C1901/NAV!C1900-1,"")</f>
        <v/>
      </c>
    </row>
    <row r="1901">
      <c r="A1901">
        <f>NAV!A1902</f>
        <v/>
      </c>
      <c r="B1901">
        <f>IFERROR(NAV!B1902/NAV!B1901-1,"")</f>
        <v/>
      </c>
      <c r="C1901">
        <f>IFERROR(NAV!C1902/NAV!C1901-1,"")</f>
        <v/>
      </c>
    </row>
    <row r="1902">
      <c r="A1902">
        <f>NAV!A1903</f>
        <v/>
      </c>
      <c r="B1902">
        <f>IFERROR(NAV!B1903/NAV!B1902-1,"")</f>
        <v/>
      </c>
      <c r="C1902">
        <f>IFERROR(NAV!C1903/NAV!C1902-1,"")</f>
        <v/>
      </c>
    </row>
    <row r="1903">
      <c r="A1903">
        <f>NAV!A1904</f>
        <v/>
      </c>
      <c r="B1903">
        <f>IFERROR(NAV!B1904/NAV!B1903-1,"")</f>
        <v/>
      </c>
      <c r="C1903">
        <f>IFERROR(NAV!C1904/NAV!C1903-1,"")</f>
        <v/>
      </c>
    </row>
    <row r="1904">
      <c r="A1904">
        <f>NAV!A1905</f>
        <v/>
      </c>
      <c r="B1904">
        <f>IFERROR(NAV!B1905/NAV!B1904-1,"")</f>
        <v/>
      </c>
      <c r="C1904">
        <f>IFERROR(NAV!C1905/NAV!C1904-1,"")</f>
        <v/>
      </c>
    </row>
    <row r="1905">
      <c r="A1905">
        <f>NAV!A1906</f>
        <v/>
      </c>
      <c r="B1905">
        <f>IFERROR(NAV!B1906/NAV!B1905-1,"")</f>
        <v/>
      </c>
      <c r="C1905">
        <f>IFERROR(NAV!C1906/NAV!C1905-1,"")</f>
        <v/>
      </c>
    </row>
    <row r="1906">
      <c r="A1906">
        <f>NAV!A1907</f>
        <v/>
      </c>
      <c r="B1906">
        <f>IFERROR(NAV!B1907/NAV!B1906-1,"")</f>
        <v/>
      </c>
      <c r="C1906">
        <f>IFERROR(NAV!C1907/NAV!C1906-1,"")</f>
        <v/>
      </c>
    </row>
    <row r="1907">
      <c r="A1907">
        <f>NAV!A1908</f>
        <v/>
      </c>
      <c r="B1907">
        <f>IFERROR(NAV!B1908/NAV!B1907-1,"")</f>
        <v/>
      </c>
      <c r="C1907">
        <f>IFERROR(NAV!C1908/NAV!C1907-1,"")</f>
        <v/>
      </c>
    </row>
    <row r="1908">
      <c r="A1908">
        <f>NAV!A1909</f>
        <v/>
      </c>
      <c r="B1908">
        <f>IFERROR(NAV!B1909/NAV!B1908-1,"")</f>
        <v/>
      </c>
      <c r="C1908">
        <f>IFERROR(NAV!C1909/NAV!C1908-1,"")</f>
        <v/>
      </c>
    </row>
    <row r="1909">
      <c r="A1909">
        <f>NAV!A1910</f>
        <v/>
      </c>
      <c r="B1909">
        <f>IFERROR(NAV!B1910/NAV!B1909-1,"")</f>
        <v/>
      </c>
      <c r="C1909">
        <f>IFERROR(NAV!C1910/NAV!C1909-1,"")</f>
        <v/>
      </c>
    </row>
    <row r="1910">
      <c r="A1910">
        <f>NAV!A1911</f>
        <v/>
      </c>
      <c r="B1910">
        <f>IFERROR(NAV!B1911/NAV!B1910-1,"")</f>
        <v/>
      </c>
      <c r="C1910">
        <f>IFERROR(NAV!C1911/NAV!C1910-1,"")</f>
        <v/>
      </c>
    </row>
    <row r="1911">
      <c r="A1911">
        <f>NAV!A1912</f>
        <v/>
      </c>
      <c r="B1911">
        <f>IFERROR(NAV!B1912/NAV!B1911-1,"")</f>
        <v/>
      </c>
      <c r="C1911">
        <f>IFERROR(NAV!C1912/NAV!C1911-1,"")</f>
        <v/>
      </c>
    </row>
    <row r="1912">
      <c r="A1912">
        <f>NAV!A1913</f>
        <v/>
      </c>
      <c r="B1912">
        <f>IFERROR(NAV!B1913/NAV!B1912-1,"")</f>
        <v/>
      </c>
      <c r="C1912">
        <f>IFERROR(NAV!C1913/NAV!C1912-1,"")</f>
        <v/>
      </c>
    </row>
    <row r="1913">
      <c r="A1913">
        <f>NAV!A1914</f>
        <v/>
      </c>
      <c r="B1913">
        <f>IFERROR(NAV!B1914/NAV!B1913-1,"")</f>
        <v/>
      </c>
      <c r="C1913">
        <f>IFERROR(NAV!C1914/NAV!C1913-1,"")</f>
        <v/>
      </c>
    </row>
    <row r="1914">
      <c r="A1914">
        <f>NAV!A1915</f>
        <v/>
      </c>
      <c r="B1914">
        <f>IFERROR(NAV!B1915/NAV!B1914-1,"")</f>
        <v/>
      </c>
      <c r="C1914">
        <f>IFERROR(NAV!C1915/NAV!C1914-1,"")</f>
        <v/>
      </c>
    </row>
    <row r="1915">
      <c r="A1915">
        <f>NAV!A1916</f>
        <v/>
      </c>
      <c r="B1915">
        <f>IFERROR(NAV!B1916/NAV!B1915-1,"")</f>
        <v/>
      </c>
      <c r="C1915">
        <f>IFERROR(NAV!C1916/NAV!C1915-1,"")</f>
        <v/>
      </c>
    </row>
    <row r="1916">
      <c r="A1916">
        <f>NAV!A1917</f>
        <v/>
      </c>
      <c r="B1916">
        <f>IFERROR(NAV!B1917/NAV!B1916-1,"")</f>
        <v/>
      </c>
      <c r="C1916">
        <f>IFERROR(NAV!C1917/NAV!C1916-1,"")</f>
        <v/>
      </c>
    </row>
    <row r="1917">
      <c r="A1917">
        <f>NAV!A1918</f>
        <v/>
      </c>
      <c r="B1917">
        <f>IFERROR(NAV!B1918/NAV!B1917-1,"")</f>
        <v/>
      </c>
      <c r="C1917">
        <f>IFERROR(NAV!C1918/NAV!C1917-1,"")</f>
        <v/>
      </c>
    </row>
    <row r="1918">
      <c r="A1918">
        <f>NAV!A1919</f>
        <v/>
      </c>
      <c r="B1918">
        <f>IFERROR(NAV!B1919/NAV!B1918-1,"")</f>
        <v/>
      </c>
      <c r="C1918">
        <f>IFERROR(NAV!C1919/NAV!C1918-1,"")</f>
        <v/>
      </c>
    </row>
    <row r="1919">
      <c r="A1919">
        <f>NAV!A1920</f>
        <v/>
      </c>
      <c r="B1919">
        <f>IFERROR(NAV!B1920/NAV!B1919-1,"")</f>
        <v/>
      </c>
      <c r="C1919">
        <f>IFERROR(NAV!C1920/NAV!C1919-1,"")</f>
        <v/>
      </c>
    </row>
    <row r="1920">
      <c r="A1920">
        <f>NAV!A1921</f>
        <v/>
      </c>
      <c r="B1920">
        <f>IFERROR(NAV!B1921/NAV!B1920-1,"")</f>
        <v/>
      </c>
      <c r="C1920">
        <f>IFERROR(NAV!C1921/NAV!C1920-1,"")</f>
        <v/>
      </c>
    </row>
    <row r="1921">
      <c r="A1921">
        <f>NAV!A1922</f>
        <v/>
      </c>
      <c r="B1921">
        <f>IFERROR(NAV!B1922/NAV!B1921-1,"")</f>
        <v/>
      </c>
      <c r="C1921">
        <f>IFERROR(NAV!C1922/NAV!C1921-1,"")</f>
        <v/>
      </c>
    </row>
    <row r="1922">
      <c r="A1922">
        <f>NAV!A1923</f>
        <v/>
      </c>
      <c r="B1922">
        <f>IFERROR(NAV!B1923/NAV!B1922-1,"")</f>
        <v/>
      </c>
      <c r="C1922">
        <f>IFERROR(NAV!C1923/NAV!C1922-1,"")</f>
        <v/>
      </c>
    </row>
    <row r="1923">
      <c r="A1923">
        <f>NAV!A1924</f>
        <v/>
      </c>
      <c r="B1923">
        <f>IFERROR(NAV!B1924/NAV!B1923-1,"")</f>
        <v/>
      </c>
      <c r="C1923">
        <f>IFERROR(NAV!C1924/NAV!C1923-1,"")</f>
        <v/>
      </c>
    </row>
    <row r="1924">
      <c r="A1924">
        <f>NAV!A1925</f>
        <v/>
      </c>
      <c r="B1924">
        <f>IFERROR(NAV!B1925/NAV!B1924-1,"")</f>
        <v/>
      </c>
      <c r="C1924">
        <f>IFERROR(NAV!C1925/NAV!C1924-1,"")</f>
        <v/>
      </c>
    </row>
    <row r="1925">
      <c r="A1925">
        <f>NAV!A1926</f>
        <v/>
      </c>
      <c r="B1925">
        <f>IFERROR(NAV!B1926/NAV!B1925-1,"")</f>
        <v/>
      </c>
      <c r="C1925">
        <f>IFERROR(NAV!C1926/NAV!C1925-1,"")</f>
        <v/>
      </c>
    </row>
    <row r="1926">
      <c r="A1926">
        <f>NAV!A1927</f>
        <v/>
      </c>
      <c r="B1926">
        <f>IFERROR(NAV!B1927/NAV!B1926-1,"")</f>
        <v/>
      </c>
      <c r="C1926">
        <f>IFERROR(NAV!C1927/NAV!C1926-1,"")</f>
        <v/>
      </c>
    </row>
    <row r="1927">
      <c r="A1927">
        <f>NAV!A1928</f>
        <v/>
      </c>
      <c r="B1927">
        <f>IFERROR(NAV!B1928/NAV!B1927-1,"")</f>
        <v/>
      </c>
      <c r="C1927">
        <f>IFERROR(NAV!C1928/NAV!C1927-1,"")</f>
        <v/>
      </c>
    </row>
    <row r="1928">
      <c r="A1928">
        <f>NAV!A1929</f>
        <v/>
      </c>
      <c r="B1928">
        <f>IFERROR(NAV!B1929/NAV!B1928-1,"")</f>
        <v/>
      </c>
      <c r="C1928">
        <f>IFERROR(NAV!C1929/NAV!C1928-1,"")</f>
        <v/>
      </c>
    </row>
    <row r="1929">
      <c r="A1929">
        <f>NAV!A1930</f>
        <v/>
      </c>
      <c r="B1929">
        <f>IFERROR(NAV!B1930/NAV!B1929-1,"")</f>
        <v/>
      </c>
      <c r="C1929">
        <f>IFERROR(NAV!C1930/NAV!C1929-1,"")</f>
        <v/>
      </c>
    </row>
    <row r="1930">
      <c r="A1930">
        <f>NAV!A1931</f>
        <v/>
      </c>
      <c r="B1930">
        <f>IFERROR(NAV!B1931/NAV!B1930-1,"")</f>
        <v/>
      </c>
      <c r="C1930">
        <f>IFERROR(NAV!C1931/NAV!C1930-1,"")</f>
        <v/>
      </c>
    </row>
    <row r="1931">
      <c r="A1931">
        <f>NAV!A1932</f>
        <v/>
      </c>
      <c r="B1931">
        <f>IFERROR(NAV!B1932/NAV!B1931-1,"")</f>
        <v/>
      </c>
      <c r="C1931">
        <f>IFERROR(NAV!C1932/NAV!C1931-1,"")</f>
        <v/>
      </c>
    </row>
    <row r="1932">
      <c r="A1932">
        <f>NAV!A1933</f>
        <v/>
      </c>
      <c r="B1932">
        <f>IFERROR(NAV!B1933/NAV!B1932-1,"")</f>
        <v/>
      </c>
      <c r="C1932">
        <f>IFERROR(NAV!C1933/NAV!C1932-1,"")</f>
        <v/>
      </c>
    </row>
    <row r="1933">
      <c r="A1933">
        <f>NAV!A1934</f>
        <v/>
      </c>
      <c r="B1933">
        <f>IFERROR(NAV!B1934/NAV!B1933-1,"")</f>
        <v/>
      </c>
      <c r="C1933">
        <f>IFERROR(NAV!C1934/NAV!C1933-1,"")</f>
        <v/>
      </c>
    </row>
    <row r="1934">
      <c r="A1934">
        <f>NAV!A1935</f>
        <v/>
      </c>
      <c r="B1934">
        <f>IFERROR(NAV!B1935/NAV!B1934-1,"")</f>
        <v/>
      </c>
      <c r="C1934">
        <f>IFERROR(NAV!C1935/NAV!C1934-1,"")</f>
        <v/>
      </c>
    </row>
    <row r="1935">
      <c r="A1935">
        <f>NAV!A1936</f>
        <v/>
      </c>
      <c r="B1935">
        <f>IFERROR(NAV!B1936/NAV!B1935-1,"")</f>
        <v/>
      </c>
      <c r="C1935">
        <f>IFERROR(NAV!C1936/NAV!C1935-1,"")</f>
        <v/>
      </c>
    </row>
    <row r="1936">
      <c r="A1936">
        <f>NAV!A1937</f>
        <v/>
      </c>
      <c r="B1936">
        <f>IFERROR(NAV!B1937/NAV!B1936-1,"")</f>
        <v/>
      </c>
      <c r="C1936">
        <f>IFERROR(NAV!C1937/NAV!C1936-1,"")</f>
        <v/>
      </c>
    </row>
    <row r="1937">
      <c r="A1937">
        <f>NAV!A1938</f>
        <v/>
      </c>
      <c r="B1937">
        <f>IFERROR(NAV!B1938/NAV!B1937-1,"")</f>
        <v/>
      </c>
      <c r="C1937">
        <f>IFERROR(NAV!C1938/NAV!C1937-1,"")</f>
        <v/>
      </c>
    </row>
    <row r="1938">
      <c r="A1938">
        <f>NAV!A1939</f>
        <v/>
      </c>
      <c r="B1938">
        <f>IFERROR(NAV!B1939/NAV!B1938-1,"")</f>
        <v/>
      </c>
      <c r="C1938">
        <f>IFERROR(NAV!C1939/NAV!C1938-1,"")</f>
        <v/>
      </c>
    </row>
    <row r="1939">
      <c r="A1939">
        <f>NAV!A1940</f>
        <v/>
      </c>
      <c r="B1939">
        <f>IFERROR(NAV!B1940/NAV!B1939-1,"")</f>
        <v/>
      </c>
      <c r="C1939">
        <f>IFERROR(NAV!C1940/NAV!C1939-1,"")</f>
        <v/>
      </c>
    </row>
    <row r="1940">
      <c r="A1940">
        <f>NAV!A1941</f>
        <v/>
      </c>
      <c r="B1940">
        <f>IFERROR(NAV!B1941/NAV!B1940-1,"")</f>
        <v/>
      </c>
      <c r="C1940">
        <f>IFERROR(NAV!C1941/NAV!C1940-1,"")</f>
        <v/>
      </c>
    </row>
    <row r="1941">
      <c r="A1941">
        <f>NAV!A1942</f>
        <v/>
      </c>
      <c r="B1941">
        <f>IFERROR(NAV!B1942/NAV!B1941-1,"")</f>
        <v/>
      </c>
      <c r="C1941">
        <f>IFERROR(NAV!C1942/NAV!C1941-1,"")</f>
        <v/>
      </c>
    </row>
    <row r="1942">
      <c r="A1942">
        <f>NAV!A1943</f>
        <v/>
      </c>
      <c r="B1942">
        <f>IFERROR(NAV!B1943/NAV!B1942-1,"")</f>
        <v/>
      </c>
      <c r="C1942">
        <f>IFERROR(NAV!C1943/NAV!C1942-1,"")</f>
        <v/>
      </c>
    </row>
    <row r="1943">
      <c r="A1943">
        <f>NAV!A1944</f>
        <v/>
      </c>
      <c r="B1943">
        <f>IFERROR(NAV!B1944/NAV!B1943-1,"")</f>
        <v/>
      </c>
      <c r="C1943">
        <f>IFERROR(NAV!C1944/NAV!C1943-1,"")</f>
        <v/>
      </c>
    </row>
    <row r="1944">
      <c r="A1944">
        <f>NAV!A1945</f>
        <v/>
      </c>
      <c r="B1944">
        <f>IFERROR(NAV!B1945/NAV!B1944-1,"")</f>
        <v/>
      </c>
      <c r="C1944">
        <f>IFERROR(NAV!C1945/NAV!C1944-1,"")</f>
        <v/>
      </c>
    </row>
    <row r="1945">
      <c r="A1945">
        <f>NAV!A1946</f>
        <v/>
      </c>
      <c r="B1945">
        <f>IFERROR(NAV!B1946/NAV!B1945-1,"")</f>
        <v/>
      </c>
      <c r="C1945">
        <f>IFERROR(NAV!C1946/NAV!C1945-1,"")</f>
        <v/>
      </c>
    </row>
    <row r="1946">
      <c r="A1946">
        <f>NAV!A1947</f>
        <v/>
      </c>
      <c r="B1946">
        <f>IFERROR(NAV!B1947/NAV!B1946-1,"")</f>
        <v/>
      </c>
      <c r="C1946">
        <f>IFERROR(NAV!C1947/NAV!C1946-1,"")</f>
        <v/>
      </c>
    </row>
    <row r="1947">
      <c r="A1947">
        <f>NAV!A1948</f>
        <v/>
      </c>
      <c r="B1947">
        <f>IFERROR(NAV!B1948/NAV!B1947-1,"")</f>
        <v/>
      </c>
      <c r="C1947">
        <f>IFERROR(NAV!C1948/NAV!C1947-1,"")</f>
        <v/>
      </c>
    </row>
    <row r="1948">
      <c r="A1948">
        <f>NAV!A1949</f>
        <v/>
      </c>
      <c r="B1948">
        <f>IFERROR(NAV!B1949/NAV!B1948-1,"")</f>
        <v/>
      </c>
      <c r="C1948">
        <f>IFERROR(NAV!C1949/NAV!C1948-1,"")</f>
        <v/>
      </c>
    </row>
    <row r="1949">
      <c r="A1949">
        <f>NAV!A1950</f>
        <v/>
      </c>
      <c r="B1949">
        <f>IFERROR(NAV!B1950/NAV!B1949-1,"")</f>
        <v/>
      </c>
      <c r="C1949">
        <f>IFERROR(NAV!C1950/NAV!C1949-1,"")</f>
        <v/>
      </c>
    </row>
    <row r="1950">
      <c r="A1950">
        <f>NAV!A1951</f>
        <v/>
      </c>
      <c r="B1950">
        <f>IFERROR(NAV!B1951/NAV!B1950-1,"")</f>
        <v/>
      </c>
      <c r="C1950">
        <f>IFERROR(NAV!C1951/NAV!C1950-1,"")</f>
        <v/>
      </c>
    </row>
    <row r="1951">
      <c r="A1951">
        <f>NAV!A1952</f>
        <v/>
      </c>
      <c r="B1951">
        <f>IFERROR(NAV!B1952/NAV!B1951-1,"")</f>
        <v/>
      </c>
      <c r="C1951">
        <f>IFERROR(NAV!C1952/NAV!C1951-1,"")</f>
        <v/>
      </c>
    </row>
    <row r="1952">
      <c r="A1952">
        <f>NAV!A1953</f>
        <v/>
      </c>
      <c r="B1952">
        <f>IFERROR(NAV!B1953/NAV!B1952-1,"")</f>
        <v/>
      </c>
      <c r="C1952">
        <f>IFERROR(NAV!C1953/NAV!C1952-1,"")</f>
        <v/>
      </c>
    </row>
    <row r="1953">
      <c r="A1953">
        <f>NAV!A1954</f>
        <v/>
      </c>
      <c r="B1953">
        <f>IFERROR(NAV!B1954/NAV!B1953-1,"")</f>
        <v/>
      </c>
      <c r="C1953">
        <f>IFERROR(NAV!C1954/NAV!C1953-1,"")</f>
        <v/>
      </c>
    </row>
    <row r="1954">
      <c r="A1954">
        <f>NAV!A1955</f>
        <v/>
      </c>
      <c r="B1954">
        <f>IFERROR(NAV!B1955/NAV!B1954-1,"")</f>
        <v/>
      </c>
      <c r="C1954">
        <f>IFERROR(NAV!C1955/NAV!C1954-1,"")</f>
        <v/>
      </c>
    </row>
    <row r="1955">
      <c r="A1955">
        <f>NAV!A1956</f>
        <v/>
      </c>
      <c r="B1955">
        <f>IFERROR(NAV!B1956/NAV!B1955-1,"")</f>
        <v/>
      </c>
      <c r="C1955">
        <f>IFERROR(NAV!C1956/NAV!C1955-1,"")</f>
        <v/>
      </c>
    </row>
    <row r="1956">
      <c r="A1956">
        <f>NAV!A1957</f>
        <v/>
      </c>
      <c r="B1956">
        <f>IFERROR(NAV!B1957/NAV!B1956-1,"")</f>
        <v/>
      </c>
      <c r="C1956">
        <f>IFERROR(NAV!C1957/NAV!C1956-1,"")</f>
        <v/>
      </c>
    </row>
    <row r="1957">
      <c r="A1957">
        <f>NAV!A1958</f>
        <v/>
      </c>
      <c r="B1957">
        <f>IFERROR(NAV!B1958/NAV!B1957-1,"")</f>
        <v/>
      </c>
      <c r="C1957">
        <f>IFERROR(NAV!C1958/NAV!C1957-1,"")</f>
        <v/>
      </c>
    </row>
    <row r="1958">
      <c r="A1958">
        <f>NAV!A1959</f>
        <v/>
      </c>
      <c r="B1958">
        <f>IFERROR(NAV!B1959/NAV!B1958-1,"")</f>
        <v/>
      </c>
      <c r="C1958">
        <f>IFERROR(NAV!C1959/NAV!C1958-1,"")</f>
        <v/>
      </c>
    </row>
    <row r="1959">
      <c r="A1959">
        <f>NAV!A1960</f>
        <v/>
      </c>
      <c r="B1959">
        <f>IFERROR(NAV!B1960/NAV!B1959-1,"")</f>
        <v/>
      </c>
      <c r="C1959">
        <f>IFERROR(NAV!C1960/NAV!C1959-1,"")</f>
        <v/>
      </c>
    </row>
    <row r="1960">
      <c r="A1960">
        <f>NAV!A1961</f>
        <v/>
      </c>
      <c r="B1960">
        <f>IFERROR(NAV!B1961/NAV!B1960-1,"")</f>
        <v/>
      </c>
      <c r="C1960">
        <f>IFERROR(NAV!C1961/NAV!C1960-1,"")</f>
        <v/>
      </c>
    </row>
    <row r="1961">
      <c r="A1961">
        <f>NAV!A1962</f>
        <v/>
      </c>
      <c r="B1961">
        <f>IFERROR(NAV!B1962/NAV!B1961-1,"")</f>
        <v/>
      </c>
      <c r="C1961">
        <f>IFERROR(NAV!C1962/NAV!C1961-1,"")</f>
        <v/>
      </c>
    </row>
    <row r="1962">
      <c r="A1962">
        <f>NAV!A1963</f>
        <v/>
      </c>
      <c r="B1962">
        <f>IFERROR(NAV!B1963/NAV!B1962-1,"")</f>
        <v/>
      </c>
      <c r="C1962">
        <f>IFERROR(NAV!C1963/NAV!C1962-1,"")</f>
        <v/>
      </c>
    </row>
    <row r="1963">
      <c r="A1963">
        <f>NAV!A1964</f>
        <v/>
      </c>
      <c r="B1963">
        <f>IFERROR(NAV!B1964/NAV!B1963-1,"")</f>
        <v/>
      </c>
      <c r="C1963">
        <f>IFERROR(NAV!C1964/NAV!C1963-1,"")</f>
        <v/>
      </c>
    </row>
    <row r="1964">
      <c r="A1964">
        <f>NAV!A1965</f>
        <v/>
      </c>
      <c r="B1964">
        <f>IFERROR(NAV!B1965/NAV!B1964-1,"")</f>
        <v/>
      </c>
      <c r="C1964">
        <f>IFERROR(NAV!C1965/NAV!C1964-1,"")</f>
        <v/>
      </c>
    </row>
    <row r="1965">
      <c r="A1965">
        <f>NAV!A1966</f>
        <v/>
      </c>
      <c r="B1965">
        <f>IFERROR(NAV!B1966/NAV!B1965-1,"")</f>
        <v/>
      </c>
      <c r="C1965">
        <f>IFERROR(NAV!C1966/NAV!C1965-1,"")</f>
        <v/>
      </c>
    </row>
    <row r="1966">
      <c r="A1966">
        <f>NAV!A1967</f>
        <v/>
      </c>
      <c r="B1966">
        <f>IFERROR(NAV!B1967/NAV!B1966-1,"")</f>
        <v/>
      </c>
      <c r="C1966">
        <f>IFERROR(NAV!C1967/NAV!C1966-1,"")</f>
        <v/>
      </c>
    </row>
    <row r="1967">
      <c r="A1967">
        <f>NAV!A1968</f>
        <v/>
      </c>
      <c r="B1967">
        <f>IFERROR(NAV!B1968/NAV!B1967-1,"")</f>
        <v/>
      </c>
      <c r="C1967">
        <f>IFERROR(NAV!C1968/NAV!C1967-1,"")</f>
        <v/>
      </c>
    </row>
    <row r="1968">
      <c r="A1968">
        <f>NAV!A1969</f>
        <v/>
      </c>
      <c r="B1968">
        <f>IFERROR(NAV!B1969/NAV!B1968-1,"")</f>
        <v/>
      </c>
      <c r="C1968">
        <f>IFERROR(NAV!C1969/NAV!C1968-1,"")</f>
        <v/>
      </c>
    </row>
    <row r="1969">
      <c r="A1969">
        <f>NAV!A1970</f>
        <v/>
      </c>
      <c r="B1969">
        <f>IFERROR(NAV!B1970/NAV!B1969-1,"")</f>
        <v/>
      </c>
      <c r="C1969">
        <f>IFERROR(NAV!C1970/NAV!C1969-1,"")</f>
        <v/>
      </c>
    </row>
    <row r="1970">
      <c r="A1970">
        <f>NAV!A1971</f>
        <v/>
      </c>
      <c r="B1970">
        <f>IFERROR(NAV!B1971/NAV!B1970-1,"")</f>
        <v/>
      </c>
      <c r="C1970">
        <f>IFERROR(NAV!C1971/NAV!C1970-1,"")</f>
        <v/>
      </c>
    </row>
    <row r="1971">
      <c r="A1971">
        <f>NAV!A1972</f>
        <v/>
      </c>
      <c r="B1971">
        <f>IFERROR(NAV!B1972/NAV!B1971-1,"")</f>
        <v/>
      </c>
      <c r="C1971">
        <f>IFERROR(NAV!C1972/NAV!C1971-1,"")</f>
        <v/>
      </c>
    </row>
    <row r="1972">
      <c r="A1972">
        <f>NAV!A1973</f>
        <v/>
      </c>
      <c r="B1972">
        <f>IFERROR(NAV!B1973/NAV!B1972-1,"")</f>
        <v/>
      </c>
      <c r="C1972">
        <f>IFERROR(NAV!C1973/NAV!C1972-1,"")</f>
        <v/>
      </c>
    </row>
    <row r="1973">
      <c r="A1973">
        <f>NAV!A1974</f>
        <v/>
      </c>
      <c r="B1973">
        <f>IFERROR(NAV!B1974/NAV!B1973-1,"")</f>
        <v/>
      </c>
      <c r="C1973">
        <f>IFERROR(NAV!C1974/NAV!C1973-1,"")</f>
        <v/>
      </c>
    </row>
    <row r="1974">
      <c r="A1974">
        <f>NAV!A1975</f>
        <v/>
      </c>
      <c r="B1974">
        <f>IFERROR(NAV!B1975/NAV!B1974-1,"")</f>
        <v/>
      </c>
      <c r="C1974">
        <f>IFERROR(NAV!C1975/NAV!C1974-1,"")</f>
        <v/>
      </c>
    </row>
    <row r="1975">
      <c r="A1975">
        <f>NAV!A1976</f>
        <v/>
      </c>
      <c r="B1975">
        <f>IFERROR(NAV!B1976/NAV!B1975-1,"")</f>
        <v/>
      </c>
      <c r="C1975">
        <f>IFERROR(NAV!C1976/NAV!C1975-1,"")</f>
        <v/>
      </c>
    </row>
    <row r="1976">
      <c r="A1976">
        <f>NAV!A1977</f>
        <v/>
      </c>
      <c r="B1976">
        <f>IFERROR(NAV!B1977/NAV!B1976-1,"")</f>
        <v/>
      </c>
      <c r="C1976">
        <f>IFERROR(NAV!C1977/NAV!C1976-1,"")</f>
        <v/>
      </c>
    </row>
    <row r="1977">
      <c r="A1977">
        <f>NAV!A1978</f>
        <v/>
      </c>
      <c r="B1977">
        <f>IFERROR(NAV!B1978/NAV!B1977-1,"")</f>
        <v/>
      </c>
      <c r="C1977">
        <f>IFERROR(NAV!C1978/NAV!C1977-1,"")</f>
        <v/>
      </c>
    </row>
    <row r="1978">
      <c r="A1978">
        <f>NAV!A1979</f>
        <v/>
      </c>
      <c r="B1978">
        <f>IFERROR(NAV!B1979/NAV!B1978-1,"")</f>
        <v/>
      </c>
      <c r="C1978">
        <f>IFERROR(NAV!C1979/NAV!C1978-1,"")</f>
        <v/>
      </c>
    </row>
    <row r="1979">
      <c r="A1979">
        <f>NAV!A1980</f>
        <v/>
      </c>
      <c r="B1979">
        <f>IFERROR(NAV!B1980/NAV!B1979-1,"")</f>
        <v/>
      </c>
      <c r="C1979">
        <f>IFERROR(NAV!C1980/NAV!C1979-1,"")</f>
        <v/>
      </c>
    </row>
    <row r="1980">
      <c r="A1980">
        <f>NAV!A1981</f>
        <v/>
      </c>
      <c r="B1980">
        <f>IFERROR(NAV!B1981/NAV!B1980-1,"")</f>
        <v/>
      </c>
      <c r="C1980">
        <f>IFERROR(NAV!C1981/NAV!C1980-1,"")</f>
        <v/>
      </c>
    </row>
    <row r="1981">
      <c r="A1981">
        <f>NAV!A1982</f>
        <v/>
      </c>
      <c r="B1981">
        <f>IFERROR(NAV!B1982/NAV!B1981-1,"")</f>
        <v/>
      </c>
      <c r="C1981">
        <f>IFERROR(NAV!C1982/NAV!C1981-1,"")</f>
        <v/>
      </c>
    </row>
    <row r="1982">
      <c r="A1982">
        <f>NAV!A1983</f>
        <v/>
      </c>
      <c r="B1982">
        <f>IFERROR(NAV!B1983/NAV!B1982-1,"")</f>
        <v/>
      </c>
      <c r="C1982">
        <f>IFERROR(NAV!C1983/NAV!C1982-1,"")</f>
        <v/>
      </c>
    </row>
    <row r="1983">
      <c r="A1983">
        <f>NAV!A1984</f>
        <v/>
      </c>
      <c r="B1983">
        <f>IFERROR(NAV!B1984/NAV!B1983-1,"")</f>
        <v/>
      </c>
      <c r="C1983">
        <f>IFERROR(NAV!C1984/NAV!C1983-1,"")</f>
        <v/>
      </c>
    </row>
    <row r="1984">
      <c r="A1984">
        <f>NAV!A1985</f>
        <v/>
      </c>
      <c r="B1984">
        <f>IFERROR(NAV!B1985/NAV!B1984-1,"")</f>
        <v/>
      </c>
      <c r="C1984">
        <f>IFERROR(NAV!C1985/NAV!C1984-1,"")</f>
        <v/>
      </c>
    </row>
    <row r="1985">
      <c r="A1985">
        <f>NAV!A1986</f>
        <v/>
      </c>
      <c r="B1985">
        <f>IFERROR(NAV!B1986/NAV!B1985-1,"")</f>
        <v/>
      </c>
      <c r="C1985">
        <f>IFERROR(NAV!C1986/NAV!C1985-1,"")</f>
        <v/>
      </c>
    </row>
    <row r="1986">
      <c r="A1986">
        <f>NAV!A1987</f>
        <v/>
      </c>
      <c r="B1986">
        <f>IFERROR(NAV!B1987/NAV!B1986-1,"")</f>
        <v/>
      </c>
      <c r="C1986">
        <f>IFERROR(NAV!C1987/NAV!C1986-1,"")</f>
        <v/>
      </c>
    </row>
    <row r="1987">
      <c r="A1987">
        <f>NAV!A1988</f>
        <v/>
      </c>
      <c r="B1987">
        <f>IFERROR(NAV!B1988/NAV!B1987-1,"")</f>
        <v/>
      </c>
      <c r="C1987">
        <f>IFERROR(NAV!C1988/NAV!C1987-1,"")</f>
        <v/>
      </c>
    </row>
    <row r="1988">
      <c r="A1988">
        <f>NAV!A1989</f>
        <v/>
      </c>
      <c r="B1988">
        <f>IFERROR(NAV!B1989/NAV!B1988-1,"")</f>
        <v/>
      </c>
      <c r="C1988">
        <f>IFERROR(NAV!C1989/NAV!C1988-1,"")</f>
        <v/>
      </c>
    </row>
    <row r="1989">
      <c r="A1989">
        <f>NAV!A1990</f>
        <v/>
      </c>
      <c r="B1989">
        <f>IFERROR(NAV!B1990/NAV!B1989-1,"")</f>
        <v/>
      </c>
      <c r="C1989">
        <f>IFERROR(NAV!C1990/NAV!C1989-1,"")</f>
        <v/>
      </c>
    </row>
    <row r="1990">
      <c r="A1990">
        <f>NAV!A1991</f>
        <v/>
      </c>
      <c r="B1990">
        <f>IFERROR(NAV!B1991/NAV!B1990-1,"")</f>
        <v/>
      </c>
      <c r="C1990">
        <f>IFERROR(NAV!C1991/NAV!C1990-1,"")</f>
        <v/>
      </c>
    </row>
    <row r="1991">
      <c r="A1991">
        <f>NAV!A1992</f>
        <v/>
      </c>
      <c r="B1991">
        <f>IFERROR(NAV!B1992/NAV!B1991-1,"")</f>
        <v/>
      </c>
      <c r="C1991">
        <f>IFERROR(NAV!C1992/NAV!C1991-1,"")</f>
        <v/>
      </c>
    </row>
    <row r="1992">
      <c r="A1992">
        <f>NAV!A1993</f>
        <v/>
      </c>
      <c r="B1992">
        <f>IFERROR(NAV!B1993/NAV!B1992-1,"")</f>
        <v/>
      </c>
      <c r="C1992">
        <f>IFERROR(NAV!C1993/NAV!C1992-1,"")</f>
        <v/>
      </c>
    </row>
    <row r="1993">
      <c r="A1993">
        <f>NAV!A1994</f>
        <v/>
      </c>
      <c r="B1993">
        <f>IFERROR(NAV!B1994/NAV!B1993-1,"")</f>
        <v/>
      </c>
      <c r="C1993">
        <f>IFERROR(NAV!C1994/NAV!C1993-1,"")</f>
        <v/>
      </c>
    </row>
    <row r="1994">
      <c r="A1994">
        <f>NAV!A1995</f>
        <v/>
      </c>
      <c r="B1994">
        <f>IFERROR(NAV!B1995/NAV!B1994-1,"")</f>
        <v/>
      </c>
      <c r="C1994">
        <f>IFERROR(NAV!C1995/NAV!C1994-1,"")</f>
        <v/>
      </c>
    </row>
    <row r="1995">
      <c r="A1995">
        <f>NAV!A1996</f>
        <v/>
      </c>
      <c r="B1995">
        <f>IFERROR(NAV!B1996/NAV!B1995-1,"")</f>
        <v/>
      </c>
      <c r="C1995">
        <f>IFERROR(NAV!C1996/NAV!C1995-1,"")</f>
        <v/>
      </c>
    </row>
    <row r="1996">
      <c r="A1996">
        <f>NAV!A1997</f>
        <v/>
      </c>
      <c r="B1996">
        <f>IFERROR(NAV!B1997/NAV!B1996-1,"")</f>
        <v/>
      </c>
      <c r="C1996">
        <f>IFERROR(NAV!C1997/NAV!C1996-1,"")</f>
        <v/>
      </c>
    </row>
    <row r="1997">
      <c r="A1997">
        <f>NAV!A1998</f>
        <v/>
      </c>
      <c r="B1997">
        <f>IFERROR(NAV!B1998/NAV!B1997-1,"")</f>
        <v/>
      </c>
      <c r="C1997">
        <f>IFERROR(NAV!C1998/NAV!C1997-1,"")</f>
        <v/>
      </c>
    </row>
    <row r="1998">
      <c r="A1998">
        <f>NAV!A1999</f>
        <v/>
      </c>
      <c r="B1998">
        <f>IFERROR(NAV!B1999/NAV!B1998-1,"")</f>
        <v/>
      </c>
      <c r="C1998">
        <f>IFERROR(NAV!C1999/NAV!C1998-1,"")</f>
        <v/>
      </c>
    </row>
    <row r="1999">
      <c r="A1999">
        <f>NAV!A2000</f>
        <v/>
      </c>
      <c r="B1999">
        <f>IFERROR(NAV!B2000/NAV!B1999-1,"")</f>
        <v/>
      </c>
      <c r="C1999">
        <f>IFERROR(NAV!C2000/NAV!C1999-1,"")</f>
        <v/>
      </c>
    </row>
    <row r="2000">
      <c r="A2000">
        <f>NAV!A2001</f>
        <v/>
      </c>
      <c r="B2000">
        <f>IFERROR(NAV!B2001/NAV!B2000-1,"")</f>
        <v/>
      </c>
      <c r="C2000">
        <f>IFERROR(NAV!C2001/NAV!C2000-1,"")</f>
        <v/>
      </c>
    </row>
    <row r="2001">
      <c r="A2001">
        <f>NAV!A2002</f>
        <v/>
      </c>
      <c r="B2001">
        <f>IFERROR(NAV!B2002/NAV!B2001-1,"")</f>
        <v/>
      </c>
      <c r="C2001">
        <f>IFERROR(NAV!C2002/NAV!C2001-1,"")</f>
        <v/>
      </c>
    </row>
    <row r="2002">
      <c r="A2002">
        <f>NAV!A2003</f>
        <v/>
      </c>
      <c r="B2002">
        <f>IFERROR(NAV!B2003/NAV!B2002-1,"")</f>
        <v/>
      </c>
      <c r="C2002">
        <f>IFERROR(NAV!C2003/NAV!C2002-1,"")</f>
        <v/>
      </c>
    </row>
    <row r="2003">
      <c r="A2003">
        <f>NAV!A2004</f>
        <v/>
      </c>
      <c r="B2003">
        <f>IFERROR(NAV!B2004/NAV!B2003-1,"")</f>
        <v/>
      </c>
      <c r="C2003">
        <f>IFERROR(NAV!C2004/NAV!C2003-1,"")</f>
        <v/>
      </c>
    </row>
    <row r="2004">
      <c r="A2004">
        <f>NAV!A2005</f>
        <v/>
      </c>
      <c r="B2004">
        <f>IFERROR(NAV!B2005/NAV!B2004-1,"")</f>
        <v/>
      </c>
      <c r="C2004">
        <f>IFERROR(NAV!C2005/NAV!C2004-1,"")</f>
        <v/>
      </c>
    </row>
    <row r="2005">
      <c r="A2005">
        <f>NAV!A2006</f>
        <v/>
      </c>
      <c r="B2005">
        <f>IFERROR(NAV!B2006/NAV!B2005-1,"")</f>
        <v/>
      </c>
      <c r="C2005">
        <f>IFERROR(NAV!C2006/NAV!C2005-1,"")</f>
        <v/>
      </c>
    </row>
    <row r="2006">
      <c r="A2006">
        <f>NAV!A2007</f>
        <v/>
      </c>
      <c r="B2006">
        <f>IFERROR(NAV!B2007/NAV!B2006-1,"")</f>
        <v/>
      </c>
      <c r="C2006">
        <f>IFERROR(NAV!C2007/NAV!C2006-1,"")</f>
        <v/>
      </c>
    </row>
    <row r="2007">
      <c r="A2007">
        <f>NAV!A2008</f>
        <v/>
      </c>
      <c r="B2007">
        <f>IFERROR(NAV!B2008/NAV!B2007-1,"")</f>
        <v/>
      </c>
      <c r="C2007">
        <f>IFERROR(NAV!C2008/NAV!C2007-1,"")</f>
        <v/>
      </c>
    </row>
    <row r="2008">
      <c r="A2008">
        <f>NAV!A2009</f>
        <v/>
      </c>
      <c r="B2008">
        <f>IFERROR(NAV!B2009/NAV!B2008-1,"")</f>
        <v/>
      </c>
      <c r="C2008">
        <f>IFERROR(NAV!C2009/NAV!C2008-1,"")</f>
        <v/>
      </c>
    </row>
    <row r="2009">
      <c r="A2009">
        <f>NAV!A2010</f>
        <v/>
      </c>
      <c r="B2009">
        <f>IFERROR(NAV!B2010/NAV!B2009-1,"")</f>
        <v/>
      </c>
      <c r="C2009">
        <f>IFERROR(NAV!C2010/NAV!C2009-1,"")</f>
        <v/>
      </c>
    </row>
    <row r="2010">
      <c r="A2010">
        <f>NAV!A2011</f>
        <v/>
      </c>
      <c r="B2010">
        <f>IFERROR(NAV!B2011/NAV!B2010-1,"")</f>
        <v/>
      </c>
      <c r="C2010">
        <f>IFERROR(NAV!C2011/NAV!C2010-1,"")</f>
        <v/>
      </c>
    </row>
    <row r="2011">
      <c r="A2011">
        <f>NAV!A2012</f>
        <v/>
      </c>
      <c r="B2011">
        <f>IFERROR(NAV!B2012/NAV!B2011-1,"")</f>
        <v/>
      </c>
      <c r="C2011">
        <f>IFERROR(NAV!C2012/NAV!C2011-1,"")</f>
        <v/>
      </c>
    </row>
    <row r="2012">
      <c r="A2012">
        <f>NAV!A2013</f>
        <v/>
      </c>
      <c r="B2012">
        <f>IFERROR(NAV!B2013/NAV!B2012-1,"")</f>
        <v/>
      </c>
      <c r="C2012">
        <f>IFERROR(NAV!C2013/NAV!C2012-1,"")</f>
        <v/>
      </c>
    </row>
    <row r="2013">
      <c r="A2013">
        <f>NAV!A2014</f>
        <v/>
      </c>
      <c r="B2013">
        <f>IFERROR(NAV!B2014/NAV!B2013-1,"")</f>
        <v/>
      </c>
      <c r="C2013">
        <f>IFERROR(NAV!C2014/NAV!C2013-1,"")</f>
        <v/>
      </c>
    </row>
    <row r="2014">
      <c r="A2014">
        <f>NAV!A2015</f>
        <v/>
      </c>
      <c r="B2014">
        <f>IFERROR(NAV!B2015/NAV!B2014-1,"")</f>
        <v/>
      </c>
      <c r="C2014">
        <f>IFERROR(NAV!C2015/NAV!C2014-1,"")</f>
        <v/>
      </c>
    </row>
    <row r="2015">
      <c r="A2015">
        <f>NAV!A2016</f>
        <v/>
      </c>
      <c r="B2015">
        <f>IFERROR(NAV!B2016/NAV!B2015-1,"")</f>
        <v/>
      </c>
      <c r="C2015">
        <f>IFERROR(NAV!C2016/NAV!C2015-1,"")</f>
        <v/>
      </c>
    </row>
    <row r="2016">
      <c r="A2016">
        <f>NAV!A2017</f>
        <v/>
      </c>
      <c r="B2016">
        <f>IFERROR(NAV!B2017/NAV!B2016-1,"")</f>
        <v/>
      </c>
      <c r="C2016">
        <f>IFERROR(NAV!C2017/NAV!C2016-1,"")</f>
        <v/>
      </c>
    </row>
    <row r="2017">
      <c r="A2017">
        <f>NAV!A2018</f>
        <v/>
      </c>
      <c r="B2017">
        <f>IFERROR(NAV!B2018/NAV!B2017-1,"")</f>
        <v/>
      </c>
      <c r="C2017">
        <f>IFERROR(NAV!C2018/NAV!C2017-1,"")</f>
        <v/>
      </c>
    </row>
    <row r="2018">
      <c r="A2018">
        <f>NAV!A2019</f>
        <v/>
      </c>
      <c r="B2018">
        <f>IFERROR(NAV!B2019/NAV!B2018-1,"")</f>
        <v/>
      </c>
      <c r="C2018">
        <f>IFERROR(NAV!C2019/NAV!C2018-1,"")</f>
        <v/>
      </c>
    </row>
    <row r="2019">
      <c r="A2019">
        <f>NAV!A2020</f>
        <v/>
      </c>
      <c r="B2019">
        <f>IFERROR(NAV!B2020/NAV!B2019-1,"")</f>
        <v/>
      </c>
      <c r="C2019">
        <f>IFERROR(NAV!C2020/NAV!C2019-1,"")</f>
        <v/>
      </c>
    </row>
    <row r="2020">
      <c r="A2020">
        <f>NAV!A2021</f>
        <v/>
      </c>
      <c r="B2020">
        <f>IFERROR(NAV!B2021/NAV!B2020-1,"")</f>
        <v/>
      </c>
      <c r="C2020">
        <f>IFERROR(NAV!C2021/NAV!C2020-1,"")</f>
        <v/>
      </c>
    </row>
    <row r="2021">
      <c r="A2021">
        <f>NAV!A2022</f>
        <v/>
      </c>
      <c r="B2021">
        <f>IFERROR(NAV!B2022/NAV!B2021-1,"")</f>
        <v/>
      </c>
      <c r="C2021">
        <f>IFERROR(NAV!C2022/NAV!C2021-1,"")</f>
        <v/>
      </c>
    </row>
    <row r="2022">
      <c r="A2022">
        <f>NAV!A2023</f>
        <v/>
      </c>
      <c r="B2022">
        <f>IFERROR(NAV!B2023/NAV!B2022-1,"")</f>
        <v/>
      </c>
      <c r="C2022">
        <f>IFERROR(NAV!C2023/NAV!C2022-1,"")</f>
        <v/>
      </c>
    </row>
    <row r="2023">
      <c r="A2023">
        <f>NAV!A2024</f>
        <v/>
      </c>
      <c r="B2023">
        <f>IFERROR(NAV!B2024/NAV!B2023-1,"")</f>
        <v/>
      </c>
      <c r="C2023">
        <f>IFERROR(NAV!C2024/NAV!C2023-1,"")</f>
        <v/>
      </c>
    </row>
    <row r="2024">
      <c r="A2024">
        <f>NAV!A2025</f>
        <v/>
      </c>
      <c r="B2024">
        <f>IFERROR(NAV!B2025/NAV!B2024-1,"")</f>
        <v/>
      </c>
      <c r="C2024">
        <f>IFERROR(NAV!C2025/NAV!C2024-1,"")</f>
        <v/>
      </c>
    </row>
    <row r="2025">
      <c r="A2025">
        <f>NAV!A2026</f>
        <v/>
      </c>
      <c r="B2025">
        <f>IFERROR(NAV!B2026/NAV!B2025-1,"")</f>
        <v/>
      </c>
      <c r="C2025">
        <f>IFERROR(NAV!C2026/NAV!C2025-1,"")</f>
        <v/>
      </c>
    </row>
    <row r="2026">
      <c r="A2026">
        <f>NAV!A2027</f>
        <v/>
      </c>
      <c r="B2026">
        <f>IFERROR(NAV!B2027/NAV!B2026-1,"")</f>
        <v/>
      </c>
      <c r="C2026">
        <f>IFERROR(NAV!C2027/NAV!C2026-1,"")</f>
        <v/>
      </c>
    </row>
    <row r="2027">
      <c r="A2027">
        <f>NAV!A2028</f>
        <v/>
      </c>
      <c r="B2027">
        <f>IFERROR(NAV!B2028/NAV!B2027-1,"")</f>
        <v/>
      </c>
      <c r="C2027">
        <f>IFERROR(NAV!C2028/NAV!C2027-1,"")</f>
        <v/>
      </c>
    </row>
    <row r="2028">
      <c r="A2028">
        <f>NAV!A2029</f>
        <v/>
      </c>
      <c r="B2028">
        <f>IFERROR(NAV!B2029/NAV!B2028-1,"")</f>
        <v/>
      </c>
      <c r="C2028">
        <f>IFERROR(NAV!C2029/NAV!C2028-1,"")</f>
        <v/>
      </c>
    </row>
    <row r="2029">
      <c r="A2029">
        <f>NAV!A2030</f>
        <v/>
      </c>
      <c r="B2029">
        <f>IFERROR(NAV!B2030/NAV!B2029-1,"")</f>
        <v/>
      </c>
      <c r="C2029">
        <f>IFERROR(NAV!C2030/NAV!C2029-1,"")</f>
        <v/>
      </c>
    </row>
    <row r="2030">
      <c r="A2030">
        <f>NAV!A2031</f>
        <v/>
      </c>
      <c r="B2030">
        <f>IFERROR(NAV!B2031/NAV!B2030-1,"")</f>
        <v/>
      </c>
      <c r="C2030">
        <f>IFERROR(NAV!C2031/NAV!C2030-1,"")</f>
        <v/>
      </c>
    </row>
    <row r="2031">
      <c r="A2031">
        <f>NAV!A2032</f>
        <v/>
      </c>
      <c r="B2031">
        <f>IFERROR(NAV!B2032/NAV!B2031-1,"")</f>
        <v/>
      </c>
      <c r="C2031">
        <f>IFERROR(NAV!C2032/NAV!C2031-1,"")</f>
        <v/>
      </c>
    </row>
    <row r="2032">
      <c r="A2032">
        <f>NAV!A2033</f>
        <v/>
      </c>
      <c r="B2032">
        <f>IFERROR(NAV!B2033/NAV!B2032-1,"")</f>
        <v/>
      </c>
      <c r="C2032">
        <f>IFERROR(NAV!C2033/NAV!C2032-1,"")</f>
        <v/>
      </c>
    </row>
    <row r="2033">
      <c r="A2033">
        <f>NAV!A2034</f>
        <v/>
      </c>
      <c r="B2033">
        <f>IFERROR(NAV!B2034/NAV!B2033-1,"")</f>
        <v/>
      </c>
      <c r="C2033">
        <f>IFERROR(NAV!C2034/NAV!C2033-1,"")</f>
        <v/>
      </c>
    </row>
    <row r="2034">
      <c r="A2034">
        <f>NAV!A2035</f>
        <v/>
      </c>
      <c r="B2034">
        <f>IFERROR(NAV!B2035/NAV!B2034-1,"")</f>
        <v/>
      </c>
      <c r="C2034">
        <f>IFERROR(NAV!C2035/NAV!C2034-1,"")</f>
        <v/>
      </c>
    </row>
    <row r="2035">
      <c r="A2035">
        <f>NAV!A2036</f>
        <v/>
      </c>
      <c r="B2035">
        <f>IFERROR(NAV!B2036/NAV!B2035-1,"")</f>
        <v/>
      </c>
      <c r="C2035">
        <f>IFERROR(NAV!C2036/NAV!C2035-1,"")</f>
        <v/>
      </c>
    </row>
    <row r="2036">
      <c r="A2036">
        <f>NAV!A2037</f>
        <v/>
      </c>
      <c r="B2036">
        <f>IFERROR(NAV!B2037/NAV!B2036-1,"")</f>
        <v/>
      </c>
      <c r="C2036">
        <f>IFERROR(NAV!C2037/NAV!C2036-1,"")</f>
        <v/>
      </c>
    </row>
    <row r="2037">
      <c r="A2037">
        <f>NAV!A2038</f>
        <v/>
      </c>
      <c r="B2037">
        <f>IFERROR(NAV!B2038/NAV!B2037-1,"")</f>
        <v/>
      </c>
      <c r="C2037">
        <f>IFERROR(NAV!C2038/NAV!C2037-1,"")</f>
        <v/>
      </c>
    </row>
    <row r="2038">
      <c r="A2038">
        <f>NAV!A2039</f>
        <v/>
      </c>
      <c r="B2038">
        <f>IFERROR(NAV!B2039/NAV!B2038-1,"")</f>
        <v/>
      </c>
      <c r="C2038">
        <f>IFERROR(NAV!C2039/NAV!C2038-1,"")</f>
        <v/>
      </c>
    </row>
    <row r="2039">
      <c r="A2039">
        <f>NAV!A2040</f>
        <v/>
      </c>
      <c r="B2039">
        <f>IFERROR(NAV!B2040/NAV!B2039-1,"")</f>
        <v/>
      </c>
      <c r="C2039">
        <f>IFERROR(NAV!C2040/NAV!C2039-1,"")</f>
        <v/>
      </c>
    </row>
    <row r="2040">
      <c r="A2040">
        <f>NAV!A2041</f>
        <v/>
      </c>
      <c r="B2040">
        <f>IFERROR(NAV!B2041/NAV!B2040-1,"")</f>
        <v/>
      </c>
      <c r="C2040">
        <f>IFERROR(NAV!C2041/NAV!C2040-1,"")</f>
        <v/>
      </c>
    </row>
    <row r="2041">
      <c r="A2041">
        <f>NAV!A2042</f>
        <v/>
      </c>
      <c r="B2041">
        <f>IFERROR(NAV!B2042/NAV!B2041-1,"")</f>
        <v/>
      </c>
      <c r="C2041">
        <f>IFERROR(NAV!C2042/NAV!C2041-1,"")</f>
        <v/>
      </c>
    </row>
    <row r="2042">
      <c r="A2042">
        <f>NAV!A2043</f>
        <v/>
      </c>
      <c r="B2042">
        <f>IFERROR(NAV!B2043/NAV!B2042-1,"")</f>
        <v/>
      </c>
      <c r="C2042">
        <f>IFERROR(NAV!C2043/NAV!C2042-1,"")</f>
        <v/>
      </c>
    </row>
    <row r="2043">
      <c r="A2043">
        <f>NAV!A2044</f>
        <v/>
      </c>
      <c r="B2043">
        <f>IFERROR(NAV!B2044/NAV!B2043-1,"")</f>
        <v/>
      </c>
      <c r="C2043">
        <f>IFERROR(NAV!C2044/NAV!C2043-1,"")</f>
        <v/>
      </c>
    </row>
    <row r="2044">
      <c r="A2044">
        <f>NAV!A2045</f>
        <v/>
      </c>
      <c r="B2044">
        <f>IFERROR(NAV!B2045/NAV!B2044-1,"")</f>
        <v/>
      </c>
      <c r="C2044">
        <f>IFERROR(NAV!C2045/NAV!C2044-1,"")</f>
        <v/>
      </c>
    </row>
    <row r="2045">
      <c r="A2045">
        <f>NAV!A2046</f>
        <v/>
      </c>
      <c r="B2045">
        <f>IFERROR(NAV!B2046/NAV!B2045-1,"")</f>
        <v/>
      </c>
      <c r="C2045">
        <f>IFERROR(NAV!C2046/NAV!C2045-1,"")</f>
        <v/>
      </c>
    </row>
    <row r="2046">
      <c r="A2046">
        <f>NAV!A2047</f>
        <v/>
      </c>
      <c r="B2046">
        <f>IFERROR(NAV!B2047/NAV!B2046-1,"")</f>
        <v/>
      </c>
      <c r="C2046">
        <f>IFERROR(NAV!C2047/NAV!C2046-1,"")</f>
        <v/>
      </c>
    </row>
    <row r="2047">
      <c r="A2047">
        <f>NAV!A2048</f>
        <v/>
      </c>
      <c r="B2047">
        <f>IFERROR(NAV!B2048/NAV!B2047-1,"")</f>
        <v/>
      </c>
      <c r="C2047">
        <f>IFERROR(NAV!C2048/NAV!C2047-1,"")</f>
        <v/>
      </c>
    </row>
    <row r="2048">
      <c r="A2048">
        <f>NAV!A2049</f>
        <v/>
      </c>
      <c r="B2048">
        <f>IFERROR(NAV!B2049/NAV!B2048-1,"")</f>
        <v/>
      </c>
      <c r="C2048">
        <f>IFERROR(NAV!C2049/NAV!C2048-1,"")</f>
        <v/>
      </c>
    </row>
    <row r="2049">
      <c r="A2049">
        <f>NAV!A2050</f>
        <v/>
      </c>
      <c r="B2049">
        <f>IFERROR(NAV!B2050/NAV!B2049-1,"")</f>
        <v/>
      </c>
      <c r="C2049">
        <f>IFERROR(NAV!C2050/NAV!C2049-1,"")</f>
        <v/>
      </c>
    </row>
    <row r="2050">
      <c r="A2050">
        <f>NAV!A2051</f>
        <v/>
      </c>
      <c r="B2050">
        <f>IFERROR(NAV!B2051/NAV!B2050-1,"")</f>
        <v/>
      </c>
      <c r="C2050">
        <f>IFERROR(NAV!C2051/NAV!C2050-1,"")</f>
        <v/>
      </c>
    </row>
    <row r="2051">
      <c r="A2051">
        <f>NAV!A2052</f>
        <v/>
      </c>
      <c r="B2051">
        <f>IFERROR(NAV!B2052/NAV!B2051-1,"")</f>
        <v/>
      </c>
      <c r="C2051">
        <f>IFERROR(NAV!C2052/NAV!C2051-1,"")</f>
        <v/>
      </c>
    </row>
    <row r="2052">
      <c r="A2052">
        <f>NAV!A2053</f>
        <v/>
      </c>
      <c r="B2052">
        <f>IFERROR(NAV!B2053/NAV!B2052-1,"")</f>
        <v/>
      </c>
      <c r="C2052">
        <f>IFERROR(NAV!C2053/NAV!C2052-1,"")</f>
        <v/>
      </c>
    </row>
    <row r="2053">
      <c r="A2053">
        <f>NAV!A2054</f>
        <v/>
      </c>
      <c r="B2053">
        <f>IFERROR(NAV!B2054/NAV!B2053-1,"")</f>
        <v/>
      </c>
      <c r="C2053">
        <f>IFERROR(NAV!C2054/NAV!C2053-1,"")</f>
        <v/>
      </c>
    </row>
    <row r="2054">
      <c r="A2054">
        <f>NAV!A2055</f>
        <v/>
      </c>
      <c r="B2054">
        <f>IFERROR(NAV!B2055/NAV!B2054-1,"")</f>
        <v/>
      </c>
      <c r="C2054">
        <f>IFERROR(NAV!C2055/NAV!C2054-1,"")</f>
        <v/>
      </c>
    </row>
    <row r="2055">
      <c r="A2055">
        <f>NAV!A2056</f>
        <v/>
      </c>
      <c r="B2055">
        <f>IFERROR(NAV!B2056/NAV!B2055-1,"")</f>
        <v/>
      </c>
      <c r="C2055">
        <f>IFERROR(NAV!C2056/NAV!C2055-1,"")</f>
        <v/>
      </c>
    </row>
    <row r="2056">
      <c r="A2056">
        <f>NAV!A2057</f>
        <v/>
      </c>
      <c r="B2056">
        <f>IFERROR(NAV!B2057/NAV!B2056-1,"")</f>
        <v/>
      </c>
      <c r="C2056">
        <f>IFERROR(NAV!C2057/NAV!C2056-1,"")</f>
        <v/>
      </c>
    </row>
    <row r="2057">
      <c r="A2057">
        <f>NAV!A2058</f>
        <v/>
      </c>
      <c r="B2057">
        <f>IFERROR(NAV!B2058/NAV!B2057-1,"")</f>
        <v/>
      </c>
      <c r="C2057">
        <f>IFERROR(NAV!C2058/NAV!C2057-1,"")</f>
        <v/>
      </c>
    </row>
    <row r="2058">
      <c r="A2058">
        <f>NAV!A2059</f>
        <v/>
      </c>
      <c r="B2058">
        <f>IFERROR(NAV!B2059/NAV!B2058-1,"")</f>
        <v/>
      </c>
      <c r="C2058">
        <f>IFERROR(NAV!C2059/NAV!C2058-1,"")</f>
        <v/>
      </c>
    </row>
    <row r="2059">
      <c r="A2059">
        <f>NAV!A2060</f>
        <v/>
      </c>
      <c r="B2059">
        <f>IFERROR(NAV!B2060/NAV!B2059-1,"")</f>
        <v/>
      </c>
      <c r="C2059">
        <f>IFERROR(NAV!C2060/NAV!C2059-1,"")</f>
        <v/>
      </c>
    </row>
    <row r="2060">
      <c r="A2060">
        <f>NAV!A2061</f>
        <v/>
      </c>
      <c r="B2060">
        <f>IFERROR(NAV!B2061/NAV!B2060-1,"")</f>
        <v/>
      </c>
      <c r="C2060">
        <f>IFERROR(NAV!C2061/NAV!C2060-1,"")</f>
        <v/>
      </c>
    </row>
    <row r="2061">
      <c r="A2061">
        <f>NAV!A2062</f>
        <v/>
      </c>
      <c r="B2061">
        <f>IFERROR(NAV!B2062/NAV!B2061-1,"")</f>
        <v/>
      </c>
      <c r="C2061">
        <f>IFERROR(NAV!C2062/NAV!C2061-1,"")</f>
        <v/>
      </c>
    </row>
    <row r="2062">
      <c r="A2062">
        <f>NAV!A2063</f>
        <v/>
      </c>
      <c r="B2062">
        <f>IFERROR(NAV!B2063/NAV!B2062-1,"")</f>
        <v/>
      </c>
      <c r="C2062">
        <f>IFERROR(NAV!C2063/NAV!C2062-1,"")</f>
        <v/>
      </c>
    </row>
    <row r="2063">
      <c r="A2063">
        <f>NAV!A2064</f>
        <v/>
      </c>
      <c r="B2063">
        <f>IFERROR(NAV!B2064/NAV!B2063-1,"")</f>
        <v/>
      </c>
      <c r="C2063">
        <f>IFERROR(NAV!C2064/NAV!C2063-1,"")</f>
        <v/>
      </c>
    </row>
    <row r="2064">
      <c r="A2064">
        <f>NAV!A2065</f>
        <v/>
      </c>
      <c r="B2064">
        <f>IFERROR(NAV!B2065/NAV!B2064-1,"")</f>
        <v/>
      </c>
      <c r="C2064">
        <f>IFERROR(NAV!C2065/NAV!C2064-1,"")</f>
        <v/>
      </c>
    </row>
    <row r="2065">
      <c r="A2065">
        <f>NAV!A2066</f>
        <v/>
      </c>
      <c r="B2065">
        <f>IFERROR(NAV!B2066/NAV!B2065-1,"")</f>
        <v/>
      </c>
      <c r="C2065">
        <f>IFERROR(NAV!C2066/NAV!C2065-1,"")</f>
        <v/>
      </c>
    </row>
    <row r="2066">
      <c r="A2066">
        <f>NAV!A2067</f>
        <v/>
      </c>
      <c r="B2066">
        <f>IFERROR(NAV!B2067/NAV!B2066-1,"")</f>
        <v/>
      </c>
      <c r="C2066">
        <f>IFERROR(NAV!C2067/NAV!C2066-1,"")</f>
        <v/>
      </c>
    </row>
    <row r="2067">
      <c r="A2067">
        <f>NAV!A2068</f>
        <v/>
      </c>
      <c r="B2067">
        <f>IFERROR(NAV!B2068/NAV!B2067-1,"")</f>
        <v/>
      </c>
      <c r="C2067">
        <f>IFERROR(NAV!C2068/NAV!C2067-1,"")</f>
        <v/>
      </c>
    </row>
    <row r="2068">
      <c r="A2068">
        <f>NAV!A2069</f>
        <v/>
      </c>
      <c r="B2068">
        <f>IFERROR(NAV!B2069/NAV!B2068-1,"")</f>
        <v/>
      </c>
      <c r="C2068">
        <f>IFERROR(NAV!C2069/NAV!C2068-1,"")</f>
        <v/>
      </c>
    </row>
    <row r="2069">
      <c r="A2069">
        <f>NAV!A2070</f>
        <v/>
      </c>
      <c r="B2069">
        <f>IFERROR(NAV!B2070/NAV!B2069-1,"")</f>
        <v/>
      </c>
      <c r="C2069">
        <f>IFERROR(NAV!C2070/NAV!C2069-1,"")</f>
        <v/>
      </c>
    </row>
    <row r="2070">
      <c r="A2070">
        <f>NAV!A2071</f>
        <v/>
      </c>
      <c r="B2070">
        <f>IFERROR(NAV!B2071/NAV!B2070-1,"")</f>
        <v/>
      </c>
      <c r="C2070">
        <f>IFERROR(NAV!C2071/NAV!C2070-1,"")</f>
        <v/>
      </c>
    </row>
    <row r="2071">
      <c r="A2071">
        <f>NAV!A2072</f>
        <v/>
      </c>
      <c r="B2071">
        <f>IFERROR(NAV!B2072/NAV!B2071-1,"")</f>
        <v/>
      </c>
      <c r="C2071">
        <f>IFERROR(NAV!C2072/NAV!C2071-1,"")</f>
        <v/>
      </c>
    </row>
    <row r="2072">
      <c r="A2072">
        <f>NAV!A2073</f>
        <v/>
      </c>
      <c r="B2072">
        <f>IFERROR(NAV!B2073/NAV!B2072-1,"")</f>
        <v/>
      </c>
      <c r="C2072">
        <f>IFERROR(NAV!C2073/NAV!C2072-1,"")</f>
        <v/>
      </c>
    </row>
    <row r="2073">
      <c r="A2073">
        <f>NAV!A2074</f>
        <v/>
      </c>
      <c r="B2073">
        <f>IFERROR(NAV!B2074/NAV!B2073-1,"")</f>
        <v/>
      </c>
      <c r="C2073">
        <f>IFERROR(NAV!C2074/NAV!C2073-1,"")</f>
        <v/>
      </c>
    </row>
    <row r="2074">
      <c r="A2074">
        <f>NAV!A2075</f>
        <v/>
      </c>
      <c r="B2074">
        <f>IFERROR(NAV!B2075/NAV!B2074-1,"")</f>
        <v/>
      </c>
      <c r="C2074">
        <f>IFERROR(NAV!C2075/NAV!C2074-1,"")</f>
        <v/>
      </c>
    </row>
    <row r="2075">
      <c r="A2075">
        <f>NAV!A2076</f>
        <v/>
      </c>
      <c r="B2075">
        <f>IFERROR(NAV!B2076/NAV!B2075-1,"")</f>
        <v/>
      </c>
      <c r="C2075">
        <f>IFERROR(NAV!C2076/NAV!C2075-1,"")</f>
        <v/>
      </c>
    </row>
    <row r="2076">
      <c r="A2076">
        <f>NAV!A2077</f>
        <v/>
      </c>
      <c r="B2076">
        <f>IFERROR(NAV!B2077/NAV!B2076-1,"")</f>
        <v/>
      </c>
      <c r="C2076">
        <f>IFERROR(NAV!C2077/NAV!C2076-1,"")</f>
        <v/>
      </c>
    </row>
    <row r="2077">
      <c r="A2077">
        <f>NAV!A2078</f>
        <v/>
      </c>
      <c r="B2077">
        <f>IFERROR(NAV!B2078/NAV!B2077-1,"")</f>
        <v/>
      </c>
      <c r="C2077">
        <f>IFERROR(NAV!C2078/NAV!C2077-1,"")</f>
        <v/>
      </c>
    </row>
    <row r="2078">
      <c r="A2078">
        <f>NAV!A2079</f>
        <v/>
      </c>
      <c r="B2078">
        <f>IFERROR(NAV!B2079/NAV!B2078-1,"")</f>
        <v/>
      </c>
      <c r="C2078">
        <f>IFERROR(NAV!C2079/NAV!C2078-1,"")</f>
        <v/>
      </c>
    </row>
    <row r="2079">
      <c r="A2079">
        <f>NAV!A2080</f>
        <v/>
      </c>
      <c r="B2079">
        <f>IFERROR(NAV!B2080/NAV!B2079-1,"")</f>
        <v/>
      </c>
      <c r="C2079">
        <f>IFERROR(NAV!C2080/NAV!C2079-1,"")</f>
        <v/>
      </c>
    </row>
    <row r="2080">
      <c r="A2080">
        <f>NAV!A2081</f>
        <v/>
      </c>
      <c r="B2080">
        <f>IFERROR(NAV!B2081/NAV!B2080-1,"")</f>
        <v/>
      </c>
      <c r="C2080">
        <f>IFERROR(NAV!C2081/NAV!C2080-1,"")</f>
        <v/>
      </c>
    </row>
    <row r="2081">
      <c r="A2081">
        <f>NAV!A2082</f>
        <v/>
      </c>
      <c r="B2081">
        <f>IFERROR(NAV!B2082/NAV!B2081-1,"")</f>
        <v/>
      </c>
      <c r="C2081">
        <f>IFERROR(NAV!C2082/NAV!C2081-1,"")</f>
        <v/>
      </c>
    </row>
    <row r="2082">
      <c r="A2082">
        <f>NAV!A2083</f>
        <v/>
      </c>
      <c r="B2082">
        <f>IFERROR(NAV!B2083/NAV!B2082-1,"")</f>
        <v/>
      </c>
      <c r="C2082">
        <f>IFERROR(NAV!C2083/NAV!C2082-1,"")</f>
        <v/>
      </c>
    </row>
    <row r="2083">
      <c r="A2083">
        <f>NAV!A2084</f>
        <v/>
      </c>
      <c r="B2083">
        <f>IFERROR(NAV!B2084/NAV!B2083-1,"")</f>
        <v/>
      </c>
      <c r="C2083">
        <f>IFERROR(NAV!C2084/NAV!C2083-1,"")</f>
        <v/>
      </c>
    </row>
    <row r="2084">
      <c r="A2084">
        <f>NAV!A2085</f>
        <v/>
      </c>
      <c r="B2084">
        <f>IFERROR(NAV!B2085/NAV!B2084-1,"")</f>
        <v/>
      </c>
      <c r="C2084">
        <f>IFERROR(NAV!C2085/NAV!C2084-1,"")</f>
        <v/>
      </c>
    </row>
    <row r="2085">
      <c r="A2085">
        <f>NAV!A2086</f>
        <v/>
      </c>
      <c r="B2085">
        <f>IFERROR(NAV!B2086/NAV!B2085-1,"")</f>
        <v/>
      </c>
      <c r="C2085">
        <f>IFERROR(NAV!C2086/NAV!C2085-1,"")</f>
        <v/>
      </c>
    </row>
    <row r="2086">
      <c r="A2086">
        <f>NAV!A2087</f>
        <v/>
      </c>
      <c r="B2086">
        <f>IFERROR(NAV!B2087/NAV!B2086-1,"")</f>
        <v/>
      </c>
      <c r="C2086">
        <f>IFERROR(NAV!C2087/NAV!C2086-1,"")</f>
        <v/>
      </c>
    </row>
    <row r="2087">
      <c r="A2087">
        <f>NAV!A2088</f>
        <v/>
      </c>
      <c r="B2087">
        <f>IFERROR(NAV!B2088/NAV!B2087-1,"")</f>
        <v/>
      </c>
      <c r="C2087">
        <f>IFERROR(NAV!C2088/NAV!C2087-1,"")</f>
        <v/>
      </c>
    </row>
    <row r="2088">
      <c r="A2088">
        <f>NAV!A2089</f>
        <v/>
      </c>
      <c r="B2088">
        <f>IFERROR(NAV!B2089/NAV!B2088-1,"")</f>
        <v/>
      </c>
      <c r="C2088">
        <f>IFERROR(NAV!C2089/NAV!C2088-1,"")</f>
        <v/>
      </c>
    </row>
    <row r="2089">
      <c r="A2089">
        <f>NAV!A2090</f>
        <v/>
      </c>
      <c r="B2089">
        <f>IFERROR(NAV!B2090/NAV!B2089-1,"")</f>
        <v/>
      </c>
      <c r="C2089">
        <f>IFERROR(NAV!C2090/NAV!C2089-1,"")</f>
        <v/>
      </c>
    </row>
    <row r="2090">
      <c r="A2090">
        <f>NAV!A2091</f>
        <v/>
      </c>
      <c r="B2090">
        <f>IFERROR(NAV!B2091/NAV!B2090-1,"")</f>
        <v/>
      </c>
      <c r="C2090">
        <f>IFERROR(NAV!C2091/NAV!C2090-1,"")</f>
        <v/>
      </c>
    </row>
    <row r="2091">
      <c r="A2091">
        <f>NAV!A2092</f>
        <v/>
      </c>
      <c r="B2091">
        <f>IFERROR(NAV!B2092/NAV!B2091-1,"")</f>
        <v/>
      </c>
      <c r="C2091">
        <f>IFERROR(NAV!C2092/NAV!C2091-1,"")</f>
        <v/>
      </c>
    </row>
    <row r="2092">
      <c r="A2092">
        <f>NAV!A2093</f>
        <v/>
      </c>
      <c r="B2092">
        <f>IFERROR(NAV!B2093/NAV!B2092-1,"")</f>
        <v/>
      </c>
      <c r="C2092">
        <f>IFERROR(NAV!C2093/NAV!C2092-1,"")</f>
        <v/>
      </c>
    </row>
    <row r="2093">
      <c r="A2093">
        <f>NAV!A2094</f>
        <v/>
      </c>
      <c r="B2093">
        <f>IFERROR(NAV!B2094/NAV!B2093-1,"")</f>
        <v/>
      </c>
      <c r="C2093">
        <f>IFERROR(NAV!C2094/NAV!C2093-1,"")</f>
        <v/>
      </c>
    </row>
    <row r="2094">
      <c r="A2094">
        <f>NAV!A2095</f>
        <v/>
      </c>
      <c r="B2094">
        <f>IFERROR(NAV!B2095/NAV!B2094-1,"")</f>
        <v/>
      </c>
      <c r="C2094">
        <f>IFERROR(NAV!C2095/NAV!C2094-1,"")</f>
        <v/>
      </c>
    </row>
    <row r="2095">
      <c r="A2095">
        <f>NAV!A2096</f>
        <v/>
      </c>
      <c r="B2095">
        <f>IFERROR(NAV!B2096/NAV!B2095-1,"")</f>
        <v/>
      </c>
      <c r="C2095">
        <f>IFERROR(NAV!C2096/NAV!C2095-1,"")</f>
        <v/>
      </c>
    </row>
    <row r="2096">
      <c r="A2096">
        <f>NAV!A2097</f>
        <v/>
      </c>
      <c r="B2096">
        <f>IFERROR(NAV!B2097/NAV!B2096-1,"")</f>
        <v/>
      </c>
      <c r="C2096">
        <f>IFERROR(NAV!C2097/NAV!C2096-1,"")</f>
        <v/>
      </c>
    </row>
    <row r="2097">
      <c r="A2097">
        <f>NAV!A2098</f>
        <v/>
      </c>
      <c r="B2097">
        <f>IFERROR(NAV!B2098/NAV!B2097-1,"")</f>
        <v/>
      </c>
      <c r="C2097">
        <f>IFERROR(NAV!C2098/NAV!C2097-1,"")</f>
        <v/>
      </c>
    </row>
    <row r="2098">
      <c r="A2098">
        <f>NAV!A2099</f>
        <v/>
      </c>
      <c r="B2098">
        <f>IFERROR(NAV!B2099/NAV!B2098-1,"")</f>
        <v/>
      </c>
      <c r="C2098">
        <f>IFERROR(NAV!C2099/NAV!C2098-1,"")</f>
        <v/>
      </c>
    </row>
    <row r="2099">
      <c r="A2099">
        <f>NAV!A2100</f>
        <v/>
      </c>
      <c r="B2099">
        <f>IFERROR(NAV!B2100/NAV!B2099-1,"")</f>
        <v/>
      </c>
      <c r="C2099">
        <f>IFERROR(NAV!C2100/NAV!C2099-1,"")</f>
        <v/>
      </c>
    </row>
    <row r="2100">
      <c r="A2100">
        <f>NAV!A2101</f>
        <v/>
      </c>
      <c r="B2100">
        <f>IFERROR(NAV!B2101/NAV!B2100-1,"")</f>
        <v/>
      </c>
      <c r="C2100">
        <f>IFERROR(NAV!C2101/NAV!C2100-1,"")</f>
        <v/>
      </c>
    </row>
    <row r="2101">
      <c r="A2101">
        <f>NAV!A2102</f>
        <v/>
      </c>
      <c r="B2101">
        <f>IFERROR(NAV!B2102/NAV!B2101-1,"")</f>
        <v/>
      </c>
      <c r="C2101">
        <f>IFERROR(NAV!C2102/NAV!C2101-1,"")</f>
        <v/>
      </c>
    </row>
    <row r="2102">
      <c r="A2102">
        <f>NAV!A2103</f>
        <v/>
      </c>
      <c r="B2102">
        <f>IFERROR(NAV!B2103/NAV!B2102-1,"")</f>
        <v/>
      </c>
      <c r="C2102">
        <f>IFERROR(NAV!C2103/NAV!C2102-1,"")</f>
        <v/>
      </c>
    </row>
    <row r="2103">
      <c r="A2103">
        <f>NAV!A2104</f>
        <v/>
      </c>
      <c r="B2103">
        <f>IFERROR(NAV!B2104/NAV!B2103-1,"")</f>
        <v/>
      </c>
      <c r="C2103">
        <f>IFERROR(NAV!C2104/NAV!C2103-1,"")</f>
        <v/>
      </c>
    </row>
    <row r="2104">
      <c r="A2104">
        <f>NAV!A2105</f>
        <v/>
      </c>
      <c r="B2104">
        <f>IFERROR(NAV!B2105/NAV!B2104-1,"")</f>
        <v/>
      </c>
      <c r="C2104">
        <f>IFERROR(NAV!C2105/NAV!C2104-1,"")</f>
        <v/>
      </c>
    </row>
    <row r="2105">
      <c r="A2105">
        <f>NAV!A2106</f>
        <v/>
      </c>
      <c r="B2105">
        <f>IFERROR(NAV!B2106/NAV!B2105-1,"")</f>
        <v/>
      </c>
      <c r="C2105">
        <f>IFERROR(NAV!C2106/NAV!C2105-1,"")</f>
        <v/>
      </c>
    </row>
    <row r="2106">
      <c r="A2106">
        <f>NAV!A2107</f>
        <v/>
      </c>
      <c r="B2106">
        <f>IFERROR(NAV!B2107/NAV!B2106-1,"")</f>
        <v/>
      </c>
      <c r="C2106">
        <f>IFERROR(NAV!C2107/NAV!C2106-1,"")</f>
        <v/>
      </c>
    </row>
    <row r="2107">
      <c r="A2107">
        <f>NAV!A2108</f>
        <v/>
      </c>
      <c r="B2107">
        <f>IFERROR(NAV!B2108/NAV!B2107-1,"")</f>
        <v/>
      </c>
      <c r="C2107">
        <f>IFERROR(NAV!C2108/NAV!C2107-1,"")</f>
        <v/>
      </c>
    </row>
    <row r="2108">
      <c r="A2108">
        <f>NAV!A2109</f>
        <v/>
      </c>
      <c r="B2108">
        <f>IFERROR(NAV!B2109/NAV!B2108-1,"")</f>
        <v/>
      </c>
      <c r="C2108">
        <f>IFERROR(NAV!C2109/NAV!C2108-1,"")</f>
        <v/>
      </c>
    </row>
    <row r="2109">
      <c r="A2109">
        <f>NAV!A2110</f>
        <v/>
      </c>
      <c r="B2109">
        <f>IFERROR(NAV!B2110/NAV!B2109-1,"")</f>
        <v/>
      </c>
      <c r="C2109">
        <f>IFERROR(NAV!C2110/NAV!C2109-1,"")</f>
        <v/>
      </c>
    </row>
    <row r="2110">
      <c r="A2110">
        <f>NAV!A2111</f>
        <v/>
      </c>
      <c r="B2110">
        <f>IFERROR(NAV!B2111/NAV!B2110-1,"")</f>
        <v/>
      </c>
      <c r="C2110">
        <f>IFERROR(NAV!C2111/NAV!C2110-1,"")</f>
        <v/>
      </c>
    </row>
    <row r="2111">
      <c r="A2111">
        <f>NAV!A2112</f>
        <v/>
      </c>
      <c r="B2111">
        <f>IFERROR(NAV!B2112/NAV!B2111-1,"")</f>
        <v/>
      </c>
      <c r="C2111">
        <f>IFERROR(NAV!C2112/NAV!C2111-1,"")</f>
        <v/>
      </c>
    </row>
    <row r="2112">
      <c r="A2112">
        <f>NAV!A2113</f>
        <v/>
      </c>
      <c r="B2112">
        <f>IFERROR(NAV!B2113/NAV!B2112-1,"")</f>
        <v/>
      </c>
      <c r="C2112">
        <f>IFERROR(NAV!C2113/NAV!C2112-1,"")</f>
        <v/>
      </c>
    </row>
    <row r="2113">
      <c r="A2113">
        <f>NAV!A2114</f>
        <v/>
      </c>
      <c r="B2113">
        <f>IFERROR(NAV!B2114/NAV!B2113-1,"")</f>
        <v/>
      </c>
      <c r="C2113">
        <f>IFERROR(NAV!C2114/NAV!C2113-1,"")</f>
        <v/>
      </c>
    </row>
    <row r="2114">
      <c r="A2114">
        <f>NAV!A2115</f>
        <v/>
      </c>
      <c r="B2114">
        <f>IFERROR(NAV!B2115/NAV!B2114-1,"")</f>
        <v/>
      </c>
      <c r="C2114">
        <f>IFERROR(NAV!C2115/NAV!C2114-1,"")</f>
        <v/>
      </c>
    </row>
    <row r="2115">
      <c r="A2115">
        <f>NAV!A2116</f>
        <v/>
      </c>
      <c r="B2115">
        <f>IFERROR(NAV!B2116/NAV!B2115-1,"")</f>
        <v/>
      </c>
      <c r="C2115">
        <f>IFERROR(NAV!C2116/NAV!C2115-1,"")</f>
        <v/>
      </c>
    </row>
    <row r="2116">
      <c r="A2116">
        <f>NAV!A2117</f>
        <v/>
      </c>
      <c r="B2116">
        <f>IFERROR(NAV!B2117/NAV!B2116-1,"")</f>
        <v/>
      </c>
      <c r="C2116">
        <f>IFERROR(NAV!C2117/NAV!C2116-1,"")</f>
        <v/>
      </c>
    </row>
    <row r="2117">
      <c r="A2117">
        <f>NAV!A2118</f>
        <v/>
      </c>
      <c r="B2117">
        <f>IFERROR(NAV!B2118/NAV!B2117-1,"")</f>
        <v/>
      </c>
      <c r="C2117">
        <f>IFERROR(NAV!C2118/NAV!C2117-1,"")</f>
        <v/>
      </c>
    </row>
    <row r="2118">
      <c r="A2118">
        <f>NAV!A2119</f>
        <v/>
      </c>
      <c r="B2118">
        <f>IFERROR(NAV!B2119/NAV!B2118-1,"")</f>
        <v/>
      </c>
      <c r="C2118">
        <f>IFERROR(NAV!C2119/NAV!C2118-1,"")</f>
        <v/>
      </c>
    </row>
    <row r="2119">
      <c r="A2119">
        <f>NAV!A2120</f>
        <v/>
      </c>
      <c r="B2119">
        <f>IFERROR(NAV!B2120/NAV!B2119-1,"")</f>
        <v/>
      </c>
      <c r="C2119">
        <f>IFERROR(NAV!C2120/NAV!C2119-1,"")</f>
        <v/>
      </c>
    </row>
    <row r="2120">
      <c r="A2120">
        <f>NAV!A2121</f>
        <v/>
      </c>
      <c r="B2120">
        <f>IFERROR(NAV!B2121/NAV!B2120-1,"")</f>
        <v/>
      </c>
      <c r="C2120">
        <f>IFERROR(NAV!C2121/NAV!C2120-1,"")</f>
        <v/>
      </c>
    </row>
    <row r="2121">
      <c r="A2121">
        <f>NAV!A2122</f>
        <v/>
      </c>
      <c r="B2121">
        <f>IFERROR(NAV!B2122/NAV!B2121-1,"")</f>
        <v/>
      </c>
      <c r="C2121">
        <f>IFERROR(NAV!C2122/NAV!C2121-1,"")</f>
        <v/>
      </c>
    </row>
    <row r="2122">
      <c r="A2122">
        <f>NAV!A2123</f>
        <v/>
      </c>
      <c r="B2122">
        <f>IFERROR(NAV!B2123/NAV!B2122-1,"")</f>
        <v/>
      </c>
      <c r="C2122">
        <f>IFERROR(NAV!C2123/NAV!C2122-1,"")</f>
        <v/>
      </c>
    </row>
    <row r="2123">
      <c r="A2123">
        <f>NAV!A2124</f>
        <v/>
      </c>
      <c r="B2123">
        <f>IFERROR(NAV!B2124/NAV!B2123-1,"")</f>
        <v/>
      </c>
      <c r="C2123">
        <f>IFERROR(NAV!C2124/NAV!C2123-1,"")</f>
        <v/>
      </c>
    </row>
    <row r="2124">
      <c r="A2124">
        <f>NAV!A2125</f>
        <v/>
      </c>
      <c r="B2124">
        <f>IFERROR(NAV!B2125/NAV!B2124-1,"")</f>
        <v/>
      </c>
      <c r="C2124">
        <f>IFERROR(NAV!C2125/NAV!C2124-1,"")</f>
        <v/>
      </c>
    </row>
    <row r="2125">
      <c r="A2125">
        <f>NAV!A2126</f>
        <v/>
      </c>
      <c r="B2125">
        <f>IFERROR(NAV!B2126/NAV!B2125-1,"")</f>
        <v/>
      </c>
      <c r="C2125">
        <f>IFERROR(NAV!C2126/NAV!C2125-1,"")</f>
        <v/>
      </c>
    </row>
    <row r="2126">
      <c r="A2126">
        <f>NAV!A2127</f>
        <v/>
      </c>
      <c r="B2126">
        <f>IFERROR(NAV!B2127/NAV!B2126-1,"")</f>
        <v/>
      </c>
      <c r="C2126">
        <f>IFERROR(NAV!C2127/NAV!C2126-1,"")</f>
        <v/>
      </c>
    </row>
    <row r="2127">
      <c r="A2127">
        <f>NAV!A2128</f>
        <v/>
      </c>
      <c r="B2127">
        <f>IFERROR(NAV!B2128/NAV!B2127-1,"")</f>
        <v/>
      </c>
      <c r="C2127">
        <f>IFERROR(NAV!C2128/NAV!C2127-1,"")</f>
        <v/>
      </c>
    </row>
    <row r="2128">
      <c r="A2128">
        <f>NAV!A2129</f>
        <v/>
      </c>
      <c r="B2128">
        <f>IFERROR(NAV!B2129/NAV!B2128-1,"")</f>
        <v/>
      </c>
      <c r="C2128">
        <f>IFERROR(NAV!C2129/NAV!C2128-1,"")</f>
        <v/>
      </c>
    </row>
    <row r="2129">
      <c r="A2129">
        <f>NAV!A2130</f>
        <v/>
      </c>
      <c r="B2129">
        <f>IFERROR(NAV!B2130/NAV!B2129-1,"")</f>
        <v/>
      </c>
      <c r="C2129">
        <f>IFERROR(NAV!C2130/NAV!C2129-1,"")</f>
        <v/>
      </c>
    </row>
    <row r="2130">
      <c r="A2130">
        <f>NAV!A2131</f>
        <v/>
      </c>
      <c r="B2130">
        <f>IFERROR(NAV!B2131/NAV!B2130-1,"")</f>
        <v/>
      </c>
      <c r="C2130">
        <f>IFERROR(NAV!C2131/NAV!C2130-1,"")</f>
        <v/>
      </c>
    </row>
    <row r="2131">
      <c r="A2131">
        <f>NAV!A2132</f>
        <v/>
      </c>
      <c r="B2131">
        <f>IFERROR(NAV!B2132/NAV!B2131-1,"")</f>
        <v/>
      </c>
      <c r="C2131">
        <f>IFERROR(NAV!C2132/NAV!C2131-1,"")</f>
        <v/>
      </c>
    </row>
    <row r="2132">
      <c r="A2132">
        <f>NAV!A2133</f>
        <v/>
      </c>
      <c r="B2132">
        <f>IFERROR(NAV!B2133/NAV!B2132-1,"")</f>
        <v/>
      </c>
      <c r="C2132">
        <f>IFERROR(NAV!C2133/NAV!C2132-1,"")</f>
        <v/>
      </c>
    </row>
    <row r="2133">
      <c r="A2133">
        <f>NAV!A2134</f>
        <v/>
      </c>
      <c r="B2133">
        <f>IFERROR(NAV!B2134/NAV!B2133-1,"")</f>
        <v/>
      </c>
      <c r="C2133">
        <f>IFERROR(NAV!C2134/NAV!C2133-1,"")</f>
        <v/>
      </c>
    </row>
    <row r="2134">
      <c r="A2134">
        <f>NAV!A2135</f>
        <v/>
      </c>
      <c r="B2134">
        <f>IFERROR(NAV!B2135/NAV!B2134-1,"")</f>
        <v/>
      </c>
      <c r="C2134">
        <f>IFERROR(NAV!C2135/NAV!C2134-1,"")</f>
        <v/>
      </c>
    </row>
    <row r="2135">
      <c r="A2135">
        <f>NAV!A2136</f>
        <v/>
      </c>
      <c r="B2135">
        <f>IFERROR(NAV!B2136/NAV!B2135-1,"")</f>
        <v/>
      </c>
      <c r="C2135">
        <f>IFERROR(NAV!C2136/NAV!C2135-1,"")</f>
        <v/>
      </c>
    </row>
    <row r="2136">
      <c r="A2136">
        <f>NAV!A2137</f>
        <v/>
      </c>
      <c r="B2136">
        <f>IFERROR(NAV!B2137/NAV!B2136-1,"")</f>
        <v/>
      </c>
      <c r="C2136">
        <f>IFERROR(NAV!C2137/NAV!C2136-1,"")</f>
        <v/>
      </c>
    </row>
    <row r="2137">
      <c r="A2137">
        <f>NAV!A2138</f>
        <v/>
      </c>
      <c r="B2137">
        <f>IFERROR(NAV!B2138/NAV!B2137-1,"")</f>
        <v/>
      </c>
      <c r="C2137">
        <f>IFERROR(NAV!C2138/NAV!C2137-1,"")</f>
        <v/>
      </c>
    </row>
    <row r="2138">
      <c r="A2138">
        <f>NAV!A2139</f>
        <v/>
      </c>
      <c r="B2138">
        <f>IFERROR(NAV!B2139/NAV!B2138-1,"")</f>
        <v/>
      </c>
      <c r="C2138">
        <f>IFERROR(NAV!C2139/NAV!C2138-1,"")</f>
        <v/>
      </c>
    </row>
    <row r="2139">
      <c r="A2139">
        <f>NAV!A2140</f>
        <v/>
      </c>
      <c r="B2139">
        <f>IFERROR(NAV!B2140/NAV!B2139-1,"")</f>
        <v/>
      </c>
      <c r="C2139">
        <f>IFERROR(NAV!C2140/NAV!C2139-1,"")</f>
        <v/>
      </c>
    </row>
    <row r="2140">
      <c r="A2140">
        <f>NAV!A2141</f>
        <v/>
      </c>
      <c r="B2140">
        <f>IFERROR(NAV!B2141/NAV!B2140-1,"")</f>
        <v/>
      </c>
      <c r="C2140">
        <f>IFERROR(NAV!C2141/NAV!C2140-1,"")</f>
        <v/>
      </c>
    </row>
    <row r="2141">
      <c r="A2141">
        <f>NAV!A2142</f>
        <v/>
      </c>
      <c r="B2141">
        <f>IFERROR(NAV!B2142/NAV!B2141-1,"")</f>
        <v/>
      </c>
      <c r="C2141">
        <f>IFERROR(NAV!C2142/NAV!C2141-1,"")</f>
        <v/>
      </c>
    </row>
    <row r="2142">
      <c r="A2142">
        <f>NAV!A2143</f>
        <v/>
      </c>
      <c r="B2142">
        <f>IFERROR(NAV!B2143/NAV!B2142-1,"")</f>
        <v/>
      </c>
      <c r="C2142">
        <f>IFERROR(NAV!C2143/NAV!C2142-1,"")</f>
        <v/>
      </c>
    </row>
    <row r="2143">
      <c r="A2143">
        <f>NAV!A2144</f>
        <v/>
      </c>
      <c r="B2143">
        <f>IFERROR(NAV!B2144/NAV!B2143-1,"")</f>
        <v/>
      </c>
      <c r="C2143">
        <f>IFERROR(NAV!C2144/NAV!C2143-1,"")</f>
        <v/>
      </c>
    </row>
    <row r="2144">
      <c r="A2144">
        <f>NAV!A2145</f>
        <v/>
      </c>
      <c r="B2144">
        <f>IFERROR(NAV!B2145/NAV!B2144-1,"")</f>
        <v/>
      </c>
      <c r="C2144">
        <f>IFERROR(NAV!C2145/NAV!C2144-1,"")</f>
        <v/>
      </c>
    </row>
    <row r="2145">
      <c r="A2145">
        <f>NAV!A2146</f>
        <v/>
      </c>
      <c r="B2145">
        <f>IFERROR(NAV!B2146/NAV!B2145-1,"")</f>
        <v/>
      </c>
      <c r="C2145">
        <f>IFERROR(NAV!C2146/NAV!C2145-1,"")</f>
        <v/>
      </c>
    </row>
    <row r="2146">
      <c r="A2146">
        <f>NAV!A2147</f>
        <v/>
      </c>
      <c r="B2146">
        <f>IFERROR(NAV!B2147/NAV!B2146-1,"")</f>
        <v/>
      </c>
      <c r="C2146">
        <f>IFERROR(NAV!C2147/NAV!C2146-1,"")</f>
        <v/>
      </c>
    </row>
    <row r="2147">
      <c r="A2147">
        <f>NAV!A2148</f>
        <v/>
      </c>
      <c r="B2147">
        <f>IFERROR(NAV!B2148/NAV!B2147-1,"")</f>
        <v/>
      </c>
      <c r="C2147">
        <f>IFERROR(NAV!C2148/NAV!C2147-1,"")</f>
        <v/>
      </c>
    </row>
    <row r="2148">
      <c r="A2148">
        <f>NAV!A2149</f>
        <v/>
      </c>
      <c r="B2148">
        <f>IFERROR(NAV!B2149/NAV!B2148-1,"")</f>
        <v/>
      </c>
      <c r="C2148">
        <f>IFERROR(NAV!C2149/NAV!C2148-1,"")</f>
        <v/>
      </c>
    </row>
    <row r="2149">
      <c r="A2149">
        <f>NAV!A2150</f>
        <v/>
      </c>
      <c r="B2149">
        <f>IFERROR(NAV!B2150/NAV!B2149-1,"")</f>
        <v/>
      </c>
      <c r="C2149">
        <f>IFERROR(NAV!C2150/NAV!C2149-1,"")</f>
        <v/>
      </c>
    </row>
    <row r="2150">
      <c r="A2150">
        <f>NAV!A2151</f>
        <v/>
      </c>
      <c r="B2150">
        <f>IFERROR(NAV!B2151/NAV!B2150-1,"")</f>
        <v/>
      </c>
      <c r="C2150">
        <f>IFERROR(NAV!C2151/NAV!C2150-1,"")</f>
        <v/>
      </c>
    </row>
    <row r="2151">
      <c r="A2151">
        <f>NAV!A2152</f>
        <v/>
      </c>
      <c r="B2151">
        <f>IFERROR(NAV!B2152/NAV!B2151-1,"")</f>
        <v/>
      </c>
      <c r="C2151">
        <f>IFERROR(NAV!C2152/NAV!C2151-1,"")</f>
        <v/>
      </c>
    </row>
    <row r="2152">
      <c r="A2152">
        <f>NAV!A2153</f>
        <v/>
      </c>
      <c r="B2152">
        <f>IFERROR(NAV!B2153/NAV!B2152-1,"")</f>
        <v/>
      </c>
      <c r="C2152">
        <f>IFERROR(NAV!C2153/NAV!C2152-1,"")</f>
        <v/>
      </c>
    </row>
    <row r="2153">
      <c r="A2153">
        <f>NAV!A2154</f>
        <v/>
      </c>
      <c r="B2153">
        <f>IFERROR(NAV!B2154/NAV!B2153-1,"")</f>
        <v/>
      </c>
      <c r="C2153">
        <f>IFERROR(NAV!C2154/NAV!C2153-1,"")</f>
        <v/>
      </c>
    </row>
    <row r="2154">
      <c r="A2154">
        <f>NAV!A2155</f>
        <v/>
      </c>
      <c r="B2154">
        <f>IFERROR(NAV!B2155/NAV!B2154-1,"")</f>
        <v/>
      </c>
      <c r="C2154">
        <f>IFERROR(NAV!C2155/NAV!C2154-1,"")</f>
        <v/>
      </c>
    </row>
    <row r="2155">
      <c r="A2155">
        <f>NAV!A2156</f>
        <v/>
      </c>
      <c r="B2155">
        <f>IFERROR(NAV!B2156/NAV!B2155-1,"")</f>
        <v/>
      </c>
      <c r="C2155">
        <f>IFERROR(NAV!C2156/NAV!C2155-1,"")</f>
        <v/>
      </c>
    </row>
    <row r="2156">
      <c r="A2156">
        <f>NAV!A2157</f>
        <v/>
      </c>
      <c r="B2156">
        <f>IFERROR(NAV!B2157/NAV!B2156-1,"")</f>
        <v/>
      </c>
      <c r="C2156">
        <f>IFERROR(NAV!C2157/NAV!C2156-1,"")</f>
        <v/>
      </c>
    </row>
    <row r="2157">
      <c r="A2157">
        <f>NAV!A2158</f>
        <v/>
      </c>
      <c r="B2157">
        <f>IFERROR(NAV!B2158/NAV!B2157-1,"")</f>
        <v/>
      </c>
      <c r="C2157">
        <f>IFERROR(NAV!C2158/NAV!C2157-1,"")</f>
        <v/>
      </c>
    </row>
    <row r="2158">
      <c r="A2158">
        <f>NAV!A2159</f>
        <v/>
      </c>
      <c r="B2158">
        <f>IFERROR(NAV!B2159/NAV!B2158-1,"")</f>
        <v/>
      </c>
      <c r="C2158">
        <f>IFERROR(NAV!C2159/NAV!C2158-1,"")</f>
        <v/>
      </c>
    </row>
    <row r="2159">
      <c r="A2159">
        <f>NAV!A2160</f>
        <v/>
      </c>
      <c r="B2159">
        <f>IFERROR(NAV!B2160/NAV!B2159-1,"")</f>
        <v/>
      </c>
      <c r="C2159">
        <f>IFERROR(NAV!C2160/NAV!C2159-1,"")</f>
        <v/>
      </c>
    </row>
    <row r="2160">
      <c r="A2160">
        <f>NAV!A2161</f>
        <v/>
      </c>
      <c r="B2160">
        <f>IFERROR(NAV!B2161/NAV!B2160-1,"")</f>
        <v/>
      </c>
      <c r="C2160">
        <f>IFERROR(NAV!C2161/NAV!C2160-1,"")</f>
        <v/>
      </c>
    </row>
    <row r="2161">
      <c r="A2161">
        <f>NAV!A2162</f>
        <v/>
      </c>
      <c r="B2161">
        <f>IFERROR(NAV!B2162/NAV!B2161-1,"")</f>
        <v/>
      </c>
      <c r="C2161">
        <f>IFERROR(NAV!C2162/NAV!C2161-1,"")</f>
        <v/>
      </c>
    </row>
    <row r="2162">
      <c r="A2162">
        <f>NAV!A2163</f>
        <v/>
      </c>
      <c r="B2162">
        <f>IFERROR(NAV!B2163/NAV!B2162-1,"")</f>
        <v/>
      </c>
      <c r="C2162">
        <f>IFERROR(NAV!C2163/NAV!C2162-1,"")</f>
        <v/>
      </c>
    </row>
    <row r="2163">
      <c r="A2163">
        <f>NAV!A2164</f>
        <v/>
      </c>
      <c r="B2163">
        <f>IFERROR(NAV!B2164/NAV!B2163-1,"")</f>
        <v/>
      </c>
      <c r="C2163">
        <f>IFERROR(NAV!C2164/NAV!C2163-1,"")</f>
        <v/>
      </c>
    </row>
    <row r="2164">
      <c r="A2164">
        <f>NAV!A2165</f>
        <v/>
      </c>
      <c r="B2164">
        <f>IFERROR(NAV!B2165/NAV!B2164-1,"")</f>
        <v/>
      </c>
      <c r="C2164">
        <f>IFERROR(NAV!C2165/NAV!C2164-1,"")</f>
        <v/>
      </c>
    </row>
    <row r="2165">
      <c r="A2165">
        <f>NAV!A2166</f>
        <v/>
      </c>
      <c r="B2165">
        <f>IFERROR(NAV!B2166/NAV!B2165-1,"")</f>
        <v/>
      </c>
      <c r="C2165">
        <f>IFERROR(NAV!C2166/NAV!C2165-1,"")</f>
        <v/>
      </c>
    </row>
    <row r="2166">
      <c r="A2166">
        <f>NAV!A2167</f>
        <v/>
      </c>
      <c r="B2166">
        <f>IFERROR(NAV!B2167/NAV!B2166-1,"")</f>
        <v/>
      </c>
      <c r="C2166">
        <f>IFERROR(NAV!C2167/NAV!C2166-1,"")</f>
        <v/>
      </c>
    </row>
    <row r="2167">
      <c r="A2167">
        <f>NAV!A2168</f>
        <v/>
      </c>
      <c r="B2167">
        <f>IFERROR(NAV!B2168/NAV!B2167-1,"")</f>
        <v/>
      </c>
      <c r="C2167">
        <f>IFERROR(NAV!C2168/NAV!C2167-1,"")</f>
        <v/>
      </c>
    </row>
    <row r="2168">
      <c r="A2168">
        <f>NAV!A2169</f>
        <v/>
      </c>
      <c r="B2168">
        <f>IFERROR(NAV!B2169/NAV!B2168-1,"")</f>
        <v/>
      </c>
      <c r="C2168">
        <f>IFERROR(NAV!C2169/NAV!C2168-1,"")</f>
        <v/>
      </c>
    </row>
    <row r="2169">
      <c r="A2169">
        <f>NAV!A2170</f>
        <v/>
      </c>
      <c r="B2169">
        <f>IFERROR(NAV!B2170/NAV!B2169-1,"")</f>
        <v/>
      </c>
      <c r="C2169">
        <f>IFERROR(NAV!C2170/NAV!C2169-1,"")</f>
        <v/>
      </c>
    </row>
    <row r="2170">
      <c r="A2170">
        <f>NAV!A2171</f>
        <v/>
      </c>
      <c r="B2170">
        <f>IFERROR(NAV!B2171/NAV!B2170-1,"")</f>
        <v/>
      </c>
      <c r="C2170">
        <f>IFERROR(NAV!C2171/NAV!C2170-1,"")</f>
        <v/>
      </c>
    </row>
    <row r="2171">
      <c r="A2171">
        <f>NAV!A2172</f>
        <v/>
      </c>
      <c r="B2171">
        <f>IFERROR(NAV!B2172/NAV!B2171-1,"")</f>
        <v/>
      </c>
      <c r="C2171">
        <f>IFERROR(NAV!C2172/NAV!C2171-1,"")</f>
        <v/>
      </c>
    </row>
    <row r="2172">
      <c r="A2172">
        <f>NAV!A2173</f>
        <v/>
      </c>
      <c r="B2172">
        <f>IFERROR(NAV!B2173/NAV!B2172-1,"")</f>
        <v/>
      </c>
      <c r="C2172">
        <f>IFERROR(NAV!C2173/NAV!C2172-1,"")</f>
        <v/>
      </c>
    </row>
    <row r="2173">
      <c r="A2173">
        <f>NAV!A2174</f>
        <v/>
      </c>
      <c r="B2173">
        <f>IFERROR(NAV!B2174/NAV!B2173-1,"")</f>
        <v/>
      </c>
      <c r="C2173">
        <f>IFERROR(NAV!C2174/NAV!C2173-1,"")</f>
        <v/>
      </c>
    </row>
    <row r="2174">
      <c r="A2174">
        <f>NAV!A2175</f>
        <v/>
      </c>
      <c r="B2174">
        <f>IFERROR(NAV!B2175/NAV!B2174-1,"")</f>
        <v/>
      </c>
      <c r="C2174">
        <f>IFERROR(NAV!C2175/NAV!C2174-1,"")</f>
        <v/>
      </c>
    </row>
    <row r="2175">
      <c r="A2175">
        <f>NAV!A2176</f>
        <v/>
      </c>
      <c r="B2175">
        <f>IFERROR(NAV!B2176/NAV!B2175-1,"")</f>
        <v/>
      </c>
      <c r="C2175">
        <f>IFERROR(NAV!C2176/NAV!C2175-1,"")</f>
        <v/>
      </c>
    </row>
    <row r="2176">
      <c r="A2176">
        <f>NAV!A2177</f>
        <v/>
      </c>
      <c r="B2176">
        <f>IFERROR(NAV!B2177/NAV!B2176-1,"")</f>
        <v/>
      </c>
      <c r="C2176">
        <f>IFERROR(NAV!C2177/NAV!C2176-1,"")</f>
        <v/>
      </c>
    </row>
    <row r="2177">
      <c r="A2177">
        <f>NAV!A2178</f>
        <v/>
      </c>
      <c r="B2177">
        <f>IFERROR(NAV!B2178/NAV!B2177-1,"")</f>
        <v/>
      </c>
      <c r="C2177">
        <f>IFERROR(NAV!C2178/NAV!C2177-1,"")</f>
        <v/>
      </c>
    </row>
    <row r="2178">
      <c r="A2178">
        <f>NAV!A2179</f>
        <v/>
      </c>
      <c r="B2178">
        <f>IFERROR(NAV!B2179/NAV!B2178-1,"")</f>
        <v/>
      </c>
      <c r="C2178">
        <f>IFERROR(NAV!C2179/NAV!C2178-1,"")</f>
        <v/>
      </c>
    </row>
    <row r="2179">
      <c r="A2179">
        <f>NAV!A2180</f>
        <v/>
      </c>
      <c r="B2179">
        <f>IFERROR(NAV!B2180/NAV!B2179-1,"")</f>
        <v/>
      </c>
      <c r="C2179">
        <f>IFERROR(NAV!C2180/NAV!C2179-1,"")</f>
        <v/>
      </c>
    </row>
    <row r="2180">
      <c r="A2180">
        <f>NAV!A2181</f>
        <v/>
      </c>
      <c r="B2180">
        <f>IFERROR(NAV!B2181/NAV!B2180-1,"")</f>
        <v/>
      </c>
      <c r="C2180">
        <f>IFERROR(NAV!C2181/NAV!C2180-1,"")</f>
        <v/>
      </c>
    </row>
    <row r="2181">
      <c r="A2181">
        <f>NAV!A2182</f>
        <v/>
      </c>
      <c r="B2181">
        <f>IFERROR(NAV!B2182/NAV!B2181-1,"")</f>
        <v/>
      </c>
      <c r="C2181">
        <f>IFERROR(NAV!C2182/NAV!C2181-1,"")</f>
        <v/>
      </c>
    </row>
    <row r="2182">
      <c r="A2182">
        <f>NAV!A2183</f>
        <v/>
      </c>
      <c r="B2182">
        <f>IFERROR(NAV!B2183/NAV!B2182-1,"")</f>
        <v/>
      </c>
      <c r="C2182">
        <f>IFERROR(NAV!C2183/NAV!C2182-1,"")</f>
        <v/>
      </c>
    </row>
    <row r="2183">
      <c r="A2183">
        <f>NAV!A2184</f>
        <v/>
      </c>
      <c r="B2183">
        <f>IFERROR(NAV!B2184/NAV!B2183-1,"")</f>
        <v/>
      </c>
      <c r="C2183">
        <f>IFERROR(NAV!C2184/NAV!C2183-1,"")</f>
        <v/>
      </c>
    </row>
    <row r="2184">
      <c r="A2184">
        <f>NAV!A2185</f>
        <v/>
      </c>
      <c r="B2184">
        <f>IFERROR(NAV!B2185/NAV!B2184-1,"")</f>
        <v/>
      </c>
      <c r="C2184">
        <f>IFERROR(NAV!C2185/NAV!C2184-1,"")</f>
        <v/>
      </c>
    </row>
    <row r="2185">
      <c r="A2185">
        <f>NAV!A2186</f>
        <v/>
      </c>
      <c r="B2185">
        <f>IFERROR(NAV!B2186/NAV!B2185-1,"")</f>
        <v/>
      </c>
      <c r="C2185">
        <f>IFERROR(NAV!C2186/NAV!C2185-1,"")</f>
        <v/>
      </c>
    </row>
    <row r="2186">
      <c r="A2186">
        <f>NAV!A2187</f>
        <v/>
      </c>
      <c r="B2186">
        <f>IFERROR(NAV!B2187/NAV!B2186-1,"")</f>
        <v/>
      </c>
      <c r="C2186">
        <f>IFERROR(NAV!C2187/NAV!C2186-1,"")</f>
        <v/>
      </c>
    </row>
    <row r="2187">
      <c r="A2187">
        <f>NAV!A2188</f>
        <v/>
      </c>
      <c r="B2187">
        <f>IFERROR(NAV!B2188/NAV!B2187-1,"")</f>
        <v/>
      </c>
      <c r="C2187">
        <f>IFERROR(NAV!C2188/NAV!C2187-1,"")</f>
        <v/>
      </c>
    </row>
    <row r="2188">
      <c r="A2188">
        <f>NAV!A2189</f>
        <v/>
      </c>
      <c r="B2188">
        <f>IFERROR(NAV!B2189/NAV!B2188-1,"")</f>
        <v/>
      </c>
      <c r="C2188">
        <f>IFERROR(NAV!C2189/NAV!C2188-1,"")</f>
        <v/>
      </c>
    </row>
    <row r="2189">
      <c r="A2189">
        <f>NAV!A2190</f>
        <v/>
      </c>
      <c r="B2189">
        <f>IFERROR(NAV!B2190/NAV!B2189-1,"")</f>
        <v/>
      </c>
      <c r="C2189">
        <f>IFERROR(NAV!C2190/NAV!C2189-1,"")</f>
        <v/>
      </c>
    </row>
    <row r="2190">
      <c r="A2190">
        <f>NAV!A2191</f>
        <v/>
      </c>
      <c r="B2190">
        <f>IFERROR(NAV!B2191/NAV!B2190-1,"")</f>
        <v/>
      </c>
      <c r="C2190">
        <f>IFERROR(NAV!C2191/NAV!C2190-1,"")</f>
        <v/>
      </c>
    </row>
    <row r="2191">
      <c r="A2191">
        <f>NAV!A2192</f>
        <v/>
      </c>
      <c r="B2191">
        <f>IFERROR(NAV!B2192/NAV!B2191-1,"")</f>
        <v/>
      </c>
      <c r="C2191">
        <f>IFERROR(NAV!C2192/NAV!C2191-1,"")</f>
        <v/>
      </c>
    </row>
    <row r="2192">
      <c r="A2192">
        <f>NAV!A2193</f>
        <v/>
      </c>
      <c r="B2192">
        <f>IFERROR(NAV!B2193/NAV!B2192-1,"")</f>
        <v/>
      </c>
      <c r="C2192">
        <f>IFERROR(NAV!C2193/NAV!C2192-1,"")</f>
        <v/>
      </c>
    </row>
    <row r="2193">
      <c r="A2193">
        <f>NAV!A2194</f>
        <v/>
      </c>
      <c r="B2193">
        <f>IFERROR(NAV!B2194/NAV!B2193-1,"")</f>
        <v/>
      </c>
      <c r="C2193">
        <f>IFERROR(NAV!C2194/NAV!C2193-1,"")</f>
        <v/>
      </c>
    </row>
    <row r="2194">
      <c r="A2194">
        <f>NAV!A2195</f>
        <v/>
      </c>
      <c r="B2194">
        <f>IFERROR(NAV!B2195/NAV!B2194-1,"")</f>
        <v/>
      </c>
      <c r="C2194">
        <f>IFERROR(NAV!C2195/NAV!C2194-1,"")</f>
        <v/>
      </c>
    </row>
    <row r="2195">
      <c r="A2195">
        <f>NAV!A2196</f>
        <v/>
      </c>
      <c r="B2195">
        <f>IFERROR(NAV!B2196/NAV!B2195-1,"")</f>
        <v/>
      </c>
      <c r="C2195">
        <f>IFERROR(NAV!C2196/NAV!C2195-1,"")</f>
        <v/>
      </c>
    </row>
    <row r="2196">
      <c r="A2196">
        <f>NAV!A2197</f>
        <v/>
      </c>
      <c r="B2196">
        <f>IFERROR(NAV!B2197/NAV!B2196-1,"")</f>
        <v/>
      </c>
      <c r="C2196">
        <f>IFERROR(NAV!C2197/NAV!C2196-1,"")</f>
        <v/>
      </c>
    </row>
    <row r="2197">
      <c r="A2197">
        <f>NAV!A2198</f>
        <v/>
      </c>
      <c r="B2197">
        <f>IFERROR(NAV!B2198/NAV!B2197-1,"")</f>
        <v/>
      </c>
      <c r="C2197">
        <f>IFERROR(NAV!C2198/NAV!C2197-1,"")</f>
        <v/>
      </c>
    </row>
    <row r="2198">
      <c r="A2198">
        <f>NAV!A2199</f>
        <v/>
      </c>
      <c r="B2198">
        <f>IFERROR(NAV!B2199/NAV!B2198-1,"")</f>
        <v/>
      </c>
      <c r="C2198">
        <f>IFERROR(NAV!C2199/NAV!C2198-1,"")</f>
        <v/>
      </c>
    </row>
    <row r="2199">
      <c r="A2199">
        <f>NAV!A2200</f>
        <v/>
      </c>
      <c r="B2199">
        <f>IFERROR(NAV!B2200/NAV!B2199-1,"")</f>
        <v/>
      </c>
      <c r="C2199">
        <f>IFERROR(NAV!C2200/NAV!C2199-1,"")</f>
        <v/>
      </c>
    </row>
    <row r="2200">
      <c r="A2200">
        <f>NAV!A2201</f>
        <v/>
      </c>
      <c r="B2200">
        <f>IFERROR(NAV!B2201/NAV!B2200-1,"")</f>
        <v/>
      </c>
      <c r="C2200">
        <f>IFERROR(NAV!C2201/NAV!C2200-1,"")</f>
        <v/>
      </c>
    </row>
    <row r="2201">
      <c r="A2201">
        <f>NAV!A2202</f>
        <v/>
      </c>
      <c r="B2201">
        <f>IFERROR(NAV!B2202/NAV!B2201-1,"")</f>
        <v/>
      </c>
      <c r="C2201">
        <f>IFERROR(NAV!C2202/NAV!C2201-1,"")</f>
        <v/>
      </c>
    </row>
    <row r="2202">
      <c r="A2202">
        <f>NAV!A2203</f>
        <v/>
      </c>
      <c r="B2202">
        <f>IFERROR(NAV!B2203/NAV!B2202-1,"")</f>
        <v/>
      </c>
      <c r="C2202">
        <f>IFERROR(NAV!C2203/NAV!C2202-1,"")</f>
        <v/>
      </c>
    </row>
    <row r="2203">
      <c r="A2203">
        <f>NAV!A2204</f>
        <v/>
      </c>
      <c r="B2203">
        <f>IFERROR(NAV!B2204/NAV!B2203-1,"")</f>
        <v/>
      </c>
      <c r="C2203">
        <f>IFERROR(NAV!C2204/NAV!C2203-1,"")</f>
        <v/>
      </c>
    </row>
    <row r="2204">
      <c r="A2204">
        <f>NAV!A2205</f>
        <v/>
      </c>
      <c r="B2204">
        <f>IFERROR(NAV!B2205/NAV!B2204-1,"")</f>
        <v/>
      </c>
      <c r="C2204">
        <f>IFERROR(NAV!C2205/NAV!C2204-1,"")</f>
        <v/>
      </c>
    </row>
    <row r="2205">
      <c r="A2205">
        <f>NAV!A2206</f>
        <v/>
      </c>
      <c r="B2205">
        <f>IFERROR(NAV!B2206/NAV!B2205-1,"")</f>
        <v/>
      </c>
      <c r="C2205">
        <f>IFERROR(NAV!C2206/NAV!C2205-1,"")</f>
        <v/>
      </c>
    </row>
    <row r="2206">
      <c r="A2206">
        <f>NAV!A2207</f>
        <v/>
      </c>
      <c r="B2206">
        <f>IFERROR(NAV!B2207/NAV!B2206-1,"")</f>
        <v/>
      </c>
      <c r="C2206">
        <f>IFERROR(NAV!C2207/NAV!C2206-1,"")</f>
        <v/>
      </c>
    </row>
    <row r="2207">
      <c r="A2207">
        <f>NAV!A2208</f>
        <v/>
      </c>
      <c r="B2207">
        <f>IFERROR(NAV!B2208/NAV!B2207-1,"")</f>
        <v/>
      </c>
      <c r="C2207">
        <f>IFERROR(NAV!C2208/NAV!C2207-1,"")</f>
        <v/>
      </c>
    </row>
    <row r="2208">
      <c r="A2208">
        <f>NAV!A2209</f>
        <v/>
      </c>
      <c r="B2208">
        <f>IFERROR(NAV!B2209/NAV!B2208-1,"")</f>
        <v/>
      </c>
      <c r="C2208">
        <f>IFERROR(NAV!C2209/NAV!C2208-1,"")</f>
        <v/>
      </c>
    </row>
    <row r="2209">
      <c r="A2209">
        <f>NAV!A2210</f>
        <v/>
      </c>
      <c r="B2209">
        <f>IFERROR(NAV!B2210/NAV!B2209-1,"")</f>
        <v/>
      </c>
      <c r="C2209">
        <f>IFERROR(NAV!C2210/NAV!C2209-1,"")</f>
        <v/>
      </c>
    </row>
    <row r="2210">
      <c r="A2210">
        <f>NAV!A2211</f>
        <v/>
      </c>
      <c r="B2210">
        <f>IFERROR(NAV!B2211/NAV!B2210-1,"")</f>
        <v/>
      </c>
      <c r="C2210">
        <f>IFERROR(NAV!C2211/NAV!C2210-1,"")</f>
        <v/>
      </c>
    </row>
    <row r="2211">
      <c r="A2211">
        <f>NAV!A2212</f>
        <v/>
      </c>
      <c r="B2211">
        <f>IFERROR(NAV!B2212/NAV!B2211-1,"")</f>
        <v/>
      </c>
      <c r="C2211">
        <f>IFERROR(NAV!C2212/NAV!C2211-1,"")</f>
        <v/>
      </c>
    </row>
    <row r="2212">
      <c r="A2212">
        <f>NAV!A2213</f>
        <v/>
      </c>
      <c r="B2212">
        <f>IFERROR(NAV!B2213/NAV!B2212-1,"")</f>
        <v/>
      </c>
      <c r="C2212">
        <f>IFERROR(NAV!C2213/NAV!C2212-1,"")</f>
        <v/>
      </c>
    </row>
    <row r="2213">
      <c r="A2213">
        <f>NAV!A2214</f>
        <v/>
      </c>
      <c r="B2213">
        <f>IFERROR(NAV!B2214/NAV!B2213-1,"")</f>
        <v/>
      </c>
      <c r="C2213">
        <f>IFERROR(NAV!C2214/NAV!C2213-1,"")</f>
        <v/>
      </c>
    </row>
    <row r="2214">
      <c r="A2214">
        <f>NAV!A2215</f>
        <v/>
      </c>
      <c r="B2214">
        <f>IFERROR(NAV!B2215/NAV!B2214-1,"")</f>
        <v/>
      </c>
      <c r="C2214">
        <f>IFERROR(NAV!C2215/NAV!C2214-1,"")</f>
        <v/>
      </c>
    </row>
    <row r="2215">
      <c r="A2215">
        <f>NAV!A2216</f>
        <v/>
      </c>
      <c r="B2215">
        <f>IFERROR(NAV!B2216/NAV!B2215-1,"")</f>
        <v/>
      </c>
      <c r="C2215">
        <f>IFERROR(NAV!C2216/NAV!C2215-1,"")</f>
        <v/>
      </c>
    </row>
    <row r="2216">
      <c r="A2216">
        <f>NAV!A2217</f>
        <v/>
      </c>
      <c r="B2216">
        <f>IFERROR(NAV!B2217/NAV!B2216-1,"")</f>
        <v/>
      </c>
      <c r="C2216">
        <f>IFERROR(NAV!C2217/NAV!C2216-1,"")</f>
        <v/>
      </c>
    </row>
    <row r="2217">
      <c r="A2217">
        <f>NAV!A2218</f>
        <v/>
      </c>
      <c r="B2217">
        <f>IFERROR(NAV!B2218/NAV!B2217-1,"")</f>
        <v/>
      </c>
      <c r="C2217">
        <f>IFERROR(NAV!C2218/NAV!C2217-1,"")</f>
        <v/>
      </c>
    </row>
    <row r="2218">
      <c r="A2218">
        <f>NAV!A2219</f>
        <v/>
      </c>
      <c r="B2218">
        <f>IFERROR(NAV!B2219/NAV!B2218-1,"")</f>
        <v/>
      </c>
      <c r="C2218">
        <f>IFERROR(NAV!C2219/NAV!C2218-1,"")</f>
        <v/>
      </c>
    </row>
    <row r="2219">
      <c r="A2219">
        <f>NAV!A2220</f>
        <v/>
      </c>
      <c r="B2219">
        <f>IFERROR(NAV!B2220/NAV!B2219-1,"")</f>
        <v/>
      </c>
      <c r="C2219">
        <f>IFERROR(NAV!C2220/NAV!C2219-1,"")</f>
        <v/>
      </c>
    </row>
    <row r="2220">
      <c r="A2220">
        <f>NAV!A2221</f>
        <v/>
      </c>
      <c r="B2220">
        <f>IFERROR(NAV!B2221/NAV!B2220-1,"")</f>
        <v/>
      </c>
      <c r="C2220">
        <f>IFERROR(NAV!C2221/NAV!C2220-1,"")</f>
        <v/>
      </c>
    </row>
    <row r="2221">
      <c r="A2221">
        <f>NAV!A2222</f>
        <v/>
      </c>
      <c r="B2221">
        <f>IFERROR(NAV!B2222/NAV!B2221-1,"")</f>
        <v/>
      </c>
      <c r="C2221">
        <f>IFERROR(NAV!C2222/NAV!C2221-1,"")</f>
        <v/>
      </c>
    </row>
    <row r="2222">
      <c r="A2222">
        <f>NAV!A2223</f>
        <v/>
      </c>
      <c r="B2222">
        <f>IFERROR(NAV!B2223/NAV!B2222-1,"")</f>
        <v/>
      </c>
      <c r="C2222">
        <f>IFERROR(NAV!C2223/NAV!C2222-1,"")</f>
        <v/>
      </c>
    </row>
    <row r="2223">
      <c r="A2223">
        <f>NAV!A2224</f>
        <v/>
      </c>
      <c r="B2223">
        <f>IFERROR(NAV!B2224/NAV!B2223-1,"")</f>
        <v/>
      </c>
      <c r="C2223">
        <f>IFERROR(NAV!C2224/NAV!C2223-1,"")</f>
        <v/>
      </c>
    </row>
    <row r="2224">
      <c r="A2224">
        <f>NAV!A2225</f>
        <v/>
      </c>
      <c r="B2224">
        <f>IFERROR(NAV!B2225/NAV!B2224-1,"")</f>
        <v/>
      </c>
      <c r="C2224">
        <f>IFERROR(NAV!C2225/NAV!C2224-1,"")</f>
        <v/>
      </c>
    </row>
    <row r="2225">
      <c r="A2225">
        <f>NAV!A2226</f>
        <v/>
      </c>
      <c r="B2225">
        <f>IFERROR(NAV!B2226/NAV!B2225-1,"")</f>
        <v/>
      </c>
      <c r="C2225">
        <f>IFERROR(NAV!C2226/NAV!C2225-1,"")</f>
        <v/>
      </c>
    </row>
    <row r="2226">
      <c r="A2226">
        <f>NAV!A2227</f>
        <v/>
      </c>
      <c r="B2226">
        <f>IFERROR(NAV!B2227/NAV!B2226-1,"")</f>
        <v/>
      </c>
      <c r="C2226">
        <f>IFERROR(NAV!C2227/NAV!C2226-1,"")</f>
        <v/>
      </c>
    </row>
    <row r="2227">
      <c r="A2227">
        <f>NAV!A2228</f>
        <v/>
      </c>
      <c r="B2227">
        <f>IFERROR(NAV!B2228/NAV!B2227-1,"")</f>
        <v/>
      </c>
      <c r="C2227">
        <f>IFERROR(NAV!C2228/NAV!C2227-1,"")</f>
        <v/>
      </c>
    </row>
    <row r="2228">
      <c r="A2228">
        <f>NAV!A2229</f>
        <v/>
      </c>
      <c r="B2228">
        <f>IFERROR(NAV!B2229/NAV!B2228-1,"")</f>
        <v/>
      </c>
      <c r="C2228">
        <f>IFERROR(NAV!C2229/NAV!C2228-1,"")</f>
        <v/>
      </c>
    </row>
    <row r="2229">
      <c r="A2229">
        <f>NAV!A2230</f>
        <v/>
      </c>
      <c r="B2229">
        <f>IFERROR(NAV!B2230/NAV!B2229-1,"")</f>
        <v/>
      </c>
      <c r="C2229">
        <f>IFERROR(NAV!C2230/NAV!C2229-1,"")</f>
        <v/>
      </c>
    </row>
    <row r="2230">
      <c r="A2230">
        <f>NAV!A2231</f>
        <v/>
      </c>
      <c r="B2230">
        <f>IFERROR(NAV!B2231/NAV!B2230-1,"")</f>
        <v/>
      </c>
      <c r="C2230">
        <f>IFERROR(NAV!C2231/NAV!C2230-1,"")</f>
        <v/>
      </c>
    </row>
    <row r="2231">
      <c r="A2231">
        <f>NAV!A2232</f>
        <v/>
      </c>
      <c r="B2231">
        <f>IFERROR(NAV!B2232/NAV!B2231-1,"")</f>
        <v/>
      </c>
      <c r="C2231">
        <f>IFERROR(NAV!C2232/NAV!C2231-1,"")</f>
        <v/>
      </c>
    </row>
    <row r="2232">
      <c r="A2232">
        <f>NAV!A2233</f>
        <v/>
      </c>
      <c r="B2232">
        <f>IFERROR(NAV!B2233/NAV!B2232-1,"")</f>
        <v/>
      </c>
      <c r="C2232">
        <f>IFERROR(NAV!C2233/NAV!C2232-1,"")</f>
        <v/>
      </c>
    </row>
    <row r="2233">
      <c r="A2233">
        <f>NAV!A2234</f>
        <v/>
      </c>
      <c r="B2233">
        <f>IFERROR(NAV!B2234/NAV!B2233-1,"")</f>
        <v/>
      </c>
      <c r="C2233">
        <f>IFERROR(NAV!C2234/NAV!C2233-1,"")</f>
        <v/>
      </c>
    </row>
    <row r="2234">
      <c r="A2234">
        <f>NAV!A2235</f>
        <v/>
      </c>
      <c r="B2234">
        <f>IFERROR(NAV!B2235/NAV!B2234-1,"")</f>
        <v/>
      </c>
      <c r="C2234">
        <f>IFERROR(NAV!C2235/NAV!C2234-1,"")</f>
        <v/>
      </c>
    </row>
    <row r="2235">
      <c r="A2235">
        <f>NAV!A2236</f>
        <v/>
      </c>
      <c r="B2235">
        <f>IFERROR(NAV!B2236/NAV!B2235-1,"")</f>
        <v/>
      </c>
      <c r="C2235">
        <f>IFERROR(NAV!C2236/NAV!C2235-1,"")</f>
        <v/>
      </c>
    </row>
    <row r="2236">
      <c r="A2236">
        <f>NAV!A2237</f>
        <v/>
      </c>
      <c r="B2236">
        <f>IFERROR(NAV!B2237/NAV!B2236-1,"")</f>
        <v/>
      </c>
      <c r="C2236">
        <f>IFERROR(NAV!C2237/NAV!C2236-1,"")</f>
        <v/>
      </c>
    </row>
    <row r="2237">
      <c r="A2237">
        <f>NAV!A2238</f>
        <v/>
      </c>
      <c r="B2237">
        <f>IFERROR(NAV!B2238/NAV!B2237-1,"")</f>
        <v/>
      </c>
      <c r="C2237">
        <f>IFERROR(NAV!C2238/NAV!C2237-1,"")</f>
        <v/>
      </c>
    </row>
    <row r="2238">
      <c r="A2238">
        <f>NAV!A2239</f>
        <v/>
      </c>
      <c r="B2238">
        <f>IFERROR(NAV!B2239/NAV!B2238-1,"")</f>
        <v/>
      </c>
      <c r="C2238">
        <f>IFERROR(NAV!C2239/NAV!C2238-1,"")</f>
        <v/>
      </c>
    </row>
    <row r="2239">
      <c r="A2239">
        <f>NAV!A2240</f>
        <v/>
      </c>
      <c r="B2239">
        <f>IFERROR(NAV!B2240/NAV!B2239-1,"")</f>
        <v/>
      </c>
      <c r="C2239">
        <f>IFERROR(NAV!C2240/NAV!C2239-1,"")</f>
        <v/>
      </c>
    </row>
    <row r="2240">
      <c r="A2240">
        <f>NAV!A2241</f>
        <v/>
      </c>
      <c r="B2240">
        <f>IFERROR(NAV!B2241/NAV!B2240-1,"")</f>
        <v/>
      </c>
      <c r="C2240">
        <f>IFERROR(NAV!C2241/NAV!C2240-1,"")</f>
        <v/>
      </c>
    </row>
    <row r="2241">
      <c r="A2241">
        <f>NAV!A2242</f>
        <v/>
      </c>
      <c r="B2241">
        <f>IFERROR(NAV!B2242/NAV!B2241-1,"")</f>
        <v/>
      </c>
      <c r="C2241">
        <f>IFERROR(NAV!C2242/NAV!C2241-1,"")</f>
        <v/>
      </c>
    </row>
    <row r="2242">
      <c r="A2242">
        <f>NAV!A2243</f>
        <v/>
      </c>
      <c r="B2242">
        <f>IFERROR(NAV!B2243/NAV!B2242-1,"")</f>
        <v/>
      </c>
      <c r="C2242">
        <f>IFERROR(NAV!C2243/NAV!C2242-1,"")</f>
        <v/>
      </c>
    </row>
    <row r="2243">
      <c r="A2243">
        <f>NAV!A2244</f>
        <v/>
      </c>
      <c r="B2243">
        <f>IFERROR(NAV!B2244/NAV!B2243-1,"")</f>
        <v/>
      </c>
      <c r="C2243">
        <f>IFERROR(NAV!C2244/NAV!C2243-1,"")</f>
        <v/>
      </c>
    </row>
    <row r="2244">
      <c r="A2244">
        <f>NAV!A2245</f>
        <v/>
      </c>
      <c r="B2244">
        <f>IFERROR(NAV!B2245/NAV!B2244-1,"")</f>
        <v/>
      </c>
      <c r="C2244">
        <f>IFERROR(NAV!C2245/NAV!C2244-1,"")</f>
        <v/>
      </c>
    </row>
    <row r="2245">
      <c r="A2245">
        <f>NAV!A2246</f>
        <v/>
      </c>
      <c r="B2245">
        <f>IFERROR(NAV!B2246/NAV!B2245-1,"")</f>
        <v/>
      </c>
      <c r="C2245">
        <f>IFERROR(NAV!C2246/NAV!C2245-1,"")</f>
        <v/>
      </c>
    </row>
    <row r="2246">
      <c r="A2246">
        <f>NAV!A2247</f>
        <v/>
      </c>
      <c r="B2246">
        <f>IFERROR(NAV!B2247/NAV!B2246-1,"")</f>
        <v/>
      </c>
      <c r="C2246">
        <f>IFERROR(NAV!C2247/NAV!C2246-1,"")</f>
        <v/>
      </c>
    </row>
    <row r="2247">
      <c r="A2247">
        <f>NAV!A2248</f>
        <v/>
      </c>
      <c r="B2247">
        <f>IFERROR(NAV!B2248/NAV!B2247-1,"")</f>
        <v/>
      </c>
      <c r="C2247">
        <f>IFERROR(NAV!C2248/NAV!C2247-1,"")</f>
        <v/>
      </c>
    </row>
    <row r="2248">
      <c r="A2248">
        <f>NAV!A2249</f>
        <v/>
      </c>
      <c r="B2248">
        <f>IFERROR(NAV!B2249/NAV!B2248-1,"")</f>
        <v/>
      </c>
      <c r="C2248">
        <f>IFERROR(NAV!C2249/NAV!C2248-1,"")</f>
        <v/>
      </c>
    </row>
    <row r="2249">
      <c r="A2249">
        <f>NAV!A2250</f>
        <v/>
      </c>
      <c r="B2249">
        <f>IFERROR(NAV!B2250/NAV!B2249-1,"")</f>
        <v/>
      </c>
      <c r="C2249">
        <f>IFERROR(NAV!C2250/NAV!C2249-1,"")</f>
        <v/>
      </c>
    </row>
    <row r="2250">
      <c r="A2250">
        <f>NAV!A2251</f>
        <v/>
      </c>
      <c r="B2250">
        <f>IFERROR(NAV!B2251/NAV!B2250-1,"")</f>
        <v/>
      </c>
      <c r="C2250">
        <f>IFERROR(NAV!C2251/NAV!C2250-1,"")</f>
        <v/>
      </c>
    </row>
    <row r="2251">
      <c r="A2251">
        <f>NAV!A2252</f>
        <v/>
      </c>
      <c r="B2251">
        <f>IFERROR(NAV!B2252/NAV!B2251-1,"")</f>
        <v/>
      </c>
      <c r="C2251">
        <f>IFERROR(NAV!C2252/NAV!C2251-1,"")</f>
        <v/>
      </c>
    </row>
    <row r="2252">
      <c r="A2252">
        <f>NAV!A2253</f>
        <v/>
      </c>
      <c r="B2252">
        <f>IFERROR(NAV!B2253/NAV!B2252-1,"")</f>
        <v/>
      </c>
      <c r="C2252">
        <f>IFERROR(NAV!C2253/NAV!C2252-1,"")</f>
        <v/>
      </c>
    </row>
    <row r="2253">
      <c r="A2253">
        <f>NAV!A2254</f>
        <v/>
      </c>
      <c r="B2253">
        <f>IFERROR(NAV!B2254/NAV!B2253-1,"")</f>
        <v/>
      </c>
      <c r="C2253">
        <f>IFERROR(NAV!C2254/NAV!C2253-1,"")</f>
        <v/>
      </c>
    </row>
    <row r="2254">
      <c r="A2254">
        <f>NAV!A2255</f>
        <v/>
      </c>
      <c r="B2254">
        <f>IFERROR(NAV!B2255/NAV!B2254-1,"")</f>
        <v/>
      </c>
      <c r="C2254">
        <f>IFERROR(NAV!C2255/NAV!C2254-1,"")</f>
        <v/>
      </c>
    </row>
    <row r="2255">
      <c r="A2255">
        <f>NAV!A2256</f>
        <v/>
      </c>
      <c r="B2255">
        <f>IFERROR(NAV!B2256/NAV!B2255-1,"")</f>
        <v/>
      </c>
      <c r="C2255">
        <f>IFERROR(NAV!C2256/NAV!C2255-1,"")</f>
        <v/>
      </c>
    </row>
    <row r="2256">
      <c r="A2256">
        <f>NAV!A2257</f>
        <v/>
      </c>
      <c r="B2256">
        <f>IFERROR(NAV!B2257/NAV!B2256-1,"")</f>
        <v/>
      </c>
      <c r="C2256">
        <f>IFERROR(NAV!C2257/NAV!C2256-1,"")</f>
        <v/>
      </c>
    </row>
    <row r="2257">
      <c r="A2257">
        <f>NAV!A2258</f>
        <v/>
      </c>
      <c r="B2257">
        <f>IFERROR(NAV!B2258/NAV!B2257-1,"")</f>
        <v/>
      </c>
      <c r="C2257">
        <f>IFERROR(NAV!C2258/NAV!C2257-1,"")</f>
        <v/>
      </c>
    </row>
    <row r="2258">
      <c r="A2258">
        <f>NAV!A2259</f>
        <v/>
      </c>
      <c r="B2258">
        <f>IFERROR(NAV!B2259/NAV!B2258-1,"")</f>
        <v/>
      </c>
      <c r="C2258">
        <f>IFERROR(NAV!C2259/NAV!C2258-1,"")</f>
        <v/>
      </c>
    </row>
    <row r="2259">
      <c r="A2259">
        <f>NAV!A2260</f>
        <v/>
      </c>
      <c r="B2259">
        <f>IFERROR(NAV!B2260/NAV!B2259-1,"")</f>
        <v/>
      </c>
      <c r="C2259">
        <f>IFERROR(NAV!C2260/NAV!C2259-1,"")</f>
        <v/>
      </c>
    </row>
    <row r="2260">
      <c r="A2260">
        <f>NAV!A2261</f>
        <v/>
      </c>
      <c r="B2260">
        <f>IFERROR(NAV!B2261/NAV!B2260-1,"")</f>
        <v/>
      </c>
      <c r="C2260">
        <f>IFERROR(NAV!C2261/NAV!C2260-1,"")</f>
        <v/>
      </c>
    </row>
    <row r="2261">
      <c r="A2261">
        <f>NAV!A2262</f>
        <v/>
      </c>
      <c r="B2261">
        <f>IFERROR(NAV!B2262/NAV!B2261-1,"")</f>
        <v/>
      </c>
      <c r="C2261">
        <f>IFERROR(NAV!C2262/NAV!C2261-1,"")</f>
        <v/>
      </c>
    </row>
    <row r="2262">
      <c r="A2262">
        <f>NAV!A2263</f>
        <v/>
      </c>
      <c r="B2262">
        <f>IFERROR(NAV!B2263/NAV!B2262-1,"")</f>
        <v/>
      </c>
      <c r="C2262">
        <f>IFERROR(NAV!C2263/NAV!C2262-1,"")</f>
        <v/>
      </c>
    </row>
    <row r="2263">
      <c r="A2263">
        <f>NAV!A2264</f>
        <v/>
      </c>
      <c r="B2263">
        <f>IFERROR(NAV!B2264/NAV!B2263-1,"")</f>
        <v/>
      </c>
      <c r="C2263">
        <f>IFERROR(NAV!C2264/NAV!C2263-1,"")</f>
        <v/>
      </c>
    </row>
    <row r="2264">
      <c r="A2264">
        <f>NAV!A2265</f>
        <v/>
      </c>
      <c r="B2264">
        <f>IFERROR(NAV!B2265/NAV!B2264-1,"")</f>
        <v/>
      </c>
      <c r="C2264">
        <f>IFERROR(NAV!C2265/NAV!C2264-1,"")</f>
        <v/>
      </c>
    </row>
    <row r="2265">
      <c r="A2265">
        <f>NAV!A2266</f>
        <v/>
      </c>
      <c r="B2265">
        <f>IFERROR(NAV!B2266/NAV!B2265-1,"")</f>
        <v/>
      </c>
      <c r="C2265">
        <f>IFERROR(NAV!C2266/NAV!C2265-1,"")</f>
        <v/>
      </c>
    </row>
    <row r="2266">
      <c r="A2266">
        <f>NAV!A2267</f>
        <v/>
      </c>
      <c r="B2266">
        <f>IFERROR(NAV!B2267/NAV!B2266-1,"")</f>
        <v/>
      </c>
      <c r="C2266">
        <f>IFERROR(NAV!C2267/NAV!C2266-1,"")</f>
        <v/>
      </c>
    </row>
    <row r="2267">
      <c r="A2267">
        <f>NAV!A2268</f>
        <v/>
      </c>
      <c r="B2267">
        <f>IFERROR(NAV!B2268/NAV!B2267-1,"")</f>
        <v/>
      </c>
      <c r="C2267">
        <f>IFERROR(NAV!C2268/NAV!C2267-1,"")</f>
        <v/>
      </c>
    </row>
    <row r="2268">
      <c r="A2268">
        <f>NAV!A2269</f>
        <v/>
      </c>
      <c r="B2268">
        <f>IFERROR(NAV!B2269/NAV!B2268-1,"")</f>
        <v/>
      </c>
      <c r="C2268">
        <f>IFERROR(NAV!C2269/NAV!C2268-1,"")</f>
        <v/>
      </c>
    </row>
    <row r="2269">
      <c r="A2269">
        <f>NAV!A2270</f>
        <v/>
      </c>
      <c r="B2269">
        <f>IFERROR(NAV!B2270/NAV!B2269-1,"")</f>
        <v/>
      </c>
      <c r="C2269">
        <f>IFERROR(NAV!C2270/NAV!C2269-1,"")</f>
        <v/>
      </c>
    </row>
    <row r="2270">
      <c r="A2270">
        <f>NAV!A2271</f>
        <v/>
      </c>
      <c r="B2270">
        <f>IFERROR(NAV!B2271/NAV!B2270-1,"")</f>
        <v/>
      </c>
      <c r="C2270">
        <f>IFERROR(NAV!C2271/NAV!C2270-1,"")</f>
        <v/>
      </c>
    </row>
    <row r="2271">
      <c r="A2271">
        <f>NAV!A2272</f>
        <v/>
      </c>
      <c r="B2271">
        <f>IFERROR(NAV!B2272/NAV!B2271-1,"")</f>
        <v/>
      </c>
      <c r="C2271">
        <f>IFERROR(NAV!C2272/NAV!C2271-1,"")</f>
        <v/>
      </c>
    </row>
    <row r="2272">
      <c r="A2272">
        <f>NAV!A2273</f>
        <v/>
      </c>
      <c r="B2272">
        <f>IFERROR(NAV!B2273/NAV!B2272-1,"")</f>
        <v/>
      </c>
      <c r="C2272">
        <f>IFERROR(NAV!C2273/NAV!C2272-1,"")</f>
        <v/>
      </c>
    </row>
    <row r="2273">
      <c r="A2273">
        <f>NAV!A2274</f>
        <v/>
      </c>
      <c r="B2273">
        <f>IFERROR(NAV!B2274/NAV!B2273-1,"")</f>
        <v/>
      </c>
      <c r="C2273">
        <f>IFERROR(NAV!C2274/NAV!C2273-1,"")</f>
        <v/>
      </c>
    </row>
    <row r="2274">
      <c r="A2274">
        <f>NAV!A2275</f>
        <v/>
      </c>
      <c r="B2274">
        <f>IFERROR(NAV!B2275/NAV!B2274-1,"")</f>
        <v/>
      </c>
      <c r="C2274">
        <f>IFERROR(NAV!C2275/NAV!C2274-1,"")</f>
        <v/>
      </c>
    </row>
    <row r="2275">
      <c r="A2275">
        <f>NAV!A2276</f>
        <v/>
      </c>
      <c r="B2275">
        <f>IFERROR(NAV!B2276/NAV!B2275-1,"")</f>
        <v/>
      </c>
      <c r="C2275">
        <f>IFERROR(NAV!C2276/NAV!C2275-1,"")</f>
        <v/>
      </c>
    </row>
    <row r="2276">
      <c r="A2276">
        <f>NAV!A2277</f>
        <v/>
      </c>
      <c r="B2276">
        <f>IFERROR(NAV!B2277/NAV!B2276-1,"")</f>
        <v/>
      </c>
      <c r="C2276">
        <f>IFERROR(NAV!C2277/NAV!C2276-1,"")</f>
        <v/>
      </c>
    </row>
    <row r="2277">
      <c r="A2277">
        <f>NAV!A2278</f>
        <v/>
      </c>
      <c r="B2277">
        <f>IFERROR(NAV!B2278/NAV!B2277-1,"")</f>
        <v/>
      </c>
      <c r="C2277">
        <f>IFERROR(NAV!C2278/NAV!C2277-1,"")</f>
        <v/>
      </c>
    </row>
    <row r="2278">
      <c r="A2278">
        <f>NAV!A2279</f>
        <v/>
      </c>
      <c r="B2278">
        <f>IFERROR(NAV!B2279/NAV!B2278-1,"")</f>
        <v/>
      </c>
      <c r="C2278">
        <f>IFERROR(NAV!C2279/NAV!C2278-1,"")</f>
        <v/>
      </c>
    </row>
    <row r="2279">
      <c r="A2279">
        <f>NAV!A2280</f>
        <v/>
      </c>
      <c r="B2279">
        <f>IFERROR(NAV!B2280/NAV!B2279-1,"")</f>
        <v/>
      </c>
      <c r="C2279">
        <f>IFERROR(NAV!C2280/NAV!C2279-1,"")</f>
        <v/>
      </c>
    </row>
    <row r="2280">
      <c r="A2280">
        <f>NAV!A2281</f>
        <v/>
      </c>
      <c r="B2280">
        <f>IFERROR(NAV!B2281/NAV!B2280-1,"")</f>
        <v/>
      </c>
      <c r="C2280">
        <f>IFERROR(NAV!C2281/NAV!C2280-1,"")</f>
        <v/>
      </c>
    </row>
    <row r="2281">
      <c r="A2281">
        <f>NAV!A2282</f>
        <v/>
      </c>
      <c r="B2281">
        <f>IFERROR(NAV!B2282/NAV!B2281-1,"")</f>
        <v/>
      </c>
      <c r="C2281">
        <f>IFERROR(NAV!C2282/NAV!C2281-1,"")</f>
        <v/>
      </c>
    </row>
    <row r="2282">
      <c r="A2282">
        <f>NAV!A2283</f>
        <v/>
      </c>
      <c r="B2282">
        <f>IFERROR(NAV!B2283/NAV!B2282-1,"")</f>
        <v/>
      </c>
      <c r="C2282">
        <f>IFERROR(NAV!C2283/NAV!C2282-1,"")</f>
        <v/>
      </c>
    </row>
    <row r="2283">
      <c r="A2283">
        <f>NAV!A2284</f>
        <v/>
      </c>
      <c r="B2283">
        <f>IFERROR(NAV!B2284/NAV!B2283-1,"")</f>
        <v/>
      </c>
      <c r="C2283">
        <f>IFERROR(NAV!C2284/NAV!C2283-1,"")</f>
        <v/>
      </c>
    </row>
    <row r="2284">
      <c r="A2284">
        <f>NAV!A2285</f>
        <v/>
      </c>
      <c r="B2284">
        <f>IFERROR(NAV!B2285/NAV!B2284-1,"")</f>
        <v/>
      </c>
      <c r="C2284">
        <f>IFERROR(NAV!C2285/NAV!C2284-1,"")</f>
        <v/>
      </c>
    </row>
    <row r="2285">
      <c r="A2285">
        <f>NAV!A2286</f>
        <v/>
      </c>
      <c r="B2285">
        <f>IFERROR(NAV!B2286/NAV!B2285-1,"")</f>
        <v/>
      </c>
      <c r="C2285">
        <f>IFERROR(NAV!C2286/NAV!C2285-1,"")</f>
        <v/>
      </c>
    </row>
    <row r="2286">
      <c r="A2286">
        <f>NAV!A2287</f>
        <v/>
      </c>
      <c r="B2286">
        <f>IFERROR(NAV!B2287/NAV!B2286-1,"")</f>
        <v/>
      </c>
      <c r="C2286">
        <f>IFERROR(NAV!C2287/NAV!C2286-1,"")</f>
        <v/>
      </c>
    </row>
    <row r="2287">
      <c r="A2287">
        <f>NAV!A2288</f>
        <v/>
      </c>
      <c r="B2287">
        <f>IFERROR(NAV!B2288/NAV!B2287-1,"")</f>
        <v/>
      </c>
      <c r="C2287">
        <f>IFERROR(NAV!C2288/NAV!C2287-1,"")</f>
        <v/>
      </c>
    </row>
    <row r="2288">
      <c r="A2288">
        <f>NAV!A2289</f>
        <v/>
      </c>
      <c r="B2288">
        <f>IFERROR(NAV!B2289/NAV!B2288-1,"")</f>
        <v/>
      </c>
      <c r="C2288">
        <f>IFERROR(NAV!C2289/NAV!C2288-1,"")</f>
        <v/>
      </c>
    </row>
    <row r="2289">
      <c r="A2289">
        <f>NAV!A2290</f>
        <v/>
      </c>
      <c r="B2289">
        <f>IFERROR(NAV!B2290/NAV!B2289-1,"")</f>
        <v/>
      </c>
      <c r="C2289">
        <f>IFERROR(NAV!C2290/NAV!C2289-1,"")</f>
        <v/>
      </c>
    </row>
    <row r="2290">
      <c r="A2290">
        <f>NAV!A2291</f>
        <v/>
      </c>
      <c r="B2290">
        <f>IFERROR(NAV!B2291/NAV!B2290-1,"")</f>
        <v/>
      </c>
      <c r="C2290">
        <f>IFERROR(NAV!C2291/NAV!C2290-1,"")</f>
        <v/>
      </c>
    </row>
    <row r="2291">
      <c r="A2291">
        <f>NAV!A2292</f>
        <v/>
      </c>
      <c r="B2291">
        <f>IFERROR(NAV!B2292/NAV!B2291-1,"")</f>
        <v/>
      </c>
      <c r="C2291">
        <f>IFERROR(NAV!C2292/NAV!C2291-1,"")</f>
        <v/>
      </c>
    </row>
    <row r="2292">
      <c r="A2292">
        <f>NAV!A2293</f>
        <v/>
      </c>
      <c r="B2292">
        <f>IFERROR(NAV!B2293/NAV!B2292-1,"")</f>
        <v/>
      </c>
      <c r="C2292">
        <f>IFERROR(NAV!C2293/NAV!C2292-1,"")</f>
        <v/>
      </c>
    </row>
    <row r="2293">
      <c r="A2293">
        <f>NAV!A2294</f>
        <v/>
      </c>
      <c r="B2293">
        <f>IFERROR(NAV!B2294/NAV!B2293-1,"")</f>
        <v/>
      </c>
      <c r="C2293">
        <f>IFERROR(NAV!C2294/NAV!C2293-1,"")</f>
        <v/>
      </c>
    </row>
    <row r="2294">
      <c r="A2294">
        <f>NAV!A2295</f>
        <v/>
      </c>
      <c r="B2294">
        <f>IFERROR(NAV!B2295/NAV!B2294-1,"")</f>
        <v/>
      </c>
      <c r="C2294">
        <f>IFERROR(NAV!C2295/NAV!C2294-1,"")</f>
        <v/>
      </c>
    </row>
    <row r="2295">
      <c r="A2295">
        <f>NAV!A2296</f>
        <v/>
      </c>
      <c r="B2295">
        <f>IFERROR(NAV!B2296/NAV!B2295-1,"")</f>
        <v/>
      </c>
      <c r="C2295">
        <f>IFERROR(NAV!C2296/NAV!C2295-1,"")</f>
        <v/>
      </c>
    </row>
    <row r="2296">
      <c r="A2296">
        <f>NAV!A2297</f>
        <v/>
      </c>
      <c r="B2296">
        <f>IFERROR(NAV!B2297/NAV!B2296-1,"")</f>
        <v/>
      </c>
      <c r="C2296">
        <f>IFERROR(NAV!C2297/NAV!C2296-1,"")</f>
        <v/>
      </c>
    </row>
    <row r="2297">
      <c r="A2297">
        <f>NAV!A2298</f>
        <v/>
      </c>
      <c r="B2297">
        <f>IFERROR(NAV!B2298/NAV!B2297-1,"")</f>
        <v/>
      </c>
      <c r="C2297">
        <f>IFERROR(NAV!C2298/NAV!C2297-1,"")</f>
        <v/>
      </c>
    </row>
    <row r="2298">
      <c r="A2298">
        <f>NAV!A2299</f>
        <v/>
      </c>
      <c r="B2298">
        <f>IFERROR(NAV!B2299/NAV!B2298-1,"")</f>
        <v/>
      </c>
      <c r="C2298">
        <f>IFERROR(NAV!C2299/NAV!C2298-1,"")</f>
        <v/>
      </c>
    </row>
    <row r="2299">
      <c r="A2299">
        <f>NAV!A2300</f>
        <v/>
      </c>
      <c r="B2299">
        <f>IFERROR(NAV!B2300/NAV!B2299-1,"")</f>
        <v/>
      </c>
      <c r="C2299">
        <f>IFERROR(NAV!C2300/NAV!C2299-1,"")</f>
        <v/>
      </c>
    </row>
    <row r="2300">
      <c r="A2300">
        <f>NAV!A2301</f>
        <v/>
      </c>
      <c r="B2300">
        <f>IFERROR(NAV!B2301/NAV!B2300-1,"")</f>
        <v/>
      </c>
      <c r="C2300">
        <f>IFERROR(NAV!C2301/NAV!C2300-1,"")</f>
        <v/>
      </c>
    </row>
    <row r="2301">
      <c r="A2301">
        <f>NAV!A2302</f>
        <v/>
      </c>
      <c r="B2301">
        <f>IFERROR(NAV!B2302/NAV!B2301-1,"")</f>
        <v/>
      </c>
      <c r="C2301">
        <f>IFERROR(NAV!C2302/NAV!C2301-1,"")</f>
        <v/>
      </c>
    </row>
    <row r="2302">
      <c r="A2302">
        <f>NAV!A2303</f>
        <v/>
      </c>
      <c r="B2302">
        <f>IFERROR(NAV!B2303/NAV!B2302-1,"")</f>
        <v/>
      </c>
      <c r="C2302">
        <f>IFERROR(NAV!C2303/NAV!C2302-1,"")</f>
        <v/>
      </c>
    </row>
    <row r="2303">
      <c r="A2303">
        <f>NAV!A2304</f>
        <v/>
      </c>
      <c r="B2303">
        <f>IFERROR(NAV!B2304/NAV!B2303-1,"")</f>
        <v/>
      </c>
      <c r="C2303">
        <f>IFERROR(NAV!C2304/NAV!C2303-1,"")</f>
        <v/>
      </c>
    </row>
    <row r="2304">
      <c r="A2304">
        <f>NAV!A2305</f>
        <v/>
      </c>
      <c r="B2304">
        <f>IFERROR(NAV!B2305/NAV!B2304-1,"")</f>
        <v/>
      </c>
      <c r="C2304">
        <f>IFERROR(NAV!C2305/NAV!C2304-1,"")</f>
        <v/>
      </c>
    </row>
    <row r="2305">
      <c r="A2305">
        <f>NAV!A2306</f>
        <v/>
      </c>
      <c r="B2305">
        <f>IFERROR(NAV!B2306/NAV!B2305-1,"")</f>
        <v/>
      </c>
      <c r="C2305">
        <f>IFERROR(NAV!C2306/NAV!C2305-1,"")</f>
        <v/>
      </c>
    </row>
    <row r="2306">
      <c r="A2306">
        <f>NAV!A2307</f>
        <v/>
      </c>
      <c r="B2306">
        <f>IFERROR(NAV!B2307/NAV!B2306-1,"")</f>
        <v/>
      </c>
      <c r="C2306">
        <f>IFERROR(NAV!C2307/NAV!C2306-1,"")</f>
        <v/>
      </c>
    </row>
    <row r="2307">
      <c r="A2307">
        <f>NAV!A2308</f>
        <v/>
      </c>
      <c r="B2307">
        <f>IFERROR(NAV!B2308/NAV!B2307-1,"")</f>
        <v/>
      </c>
      <c r="C2307">
        <f>IFERROR(NAV!C2308/NAV!C2307-1,"")</f>
        <v/>
      </c>
    </row>
    <row r="2308">
      <c r="A2308">
        <f>NAV!A2309</f>
        <v/>
      </c>
      <c r="B2308">
        <f>IFERROR(NAV!B2309/NAV!B2308-1,"")</f>
        <v/>
      </c>
      <c r="C2308">
        <f>IFERROR(NAV!C2309/NAV!C2308-1,"")</f>
        <v/>
      </c>
    </row>
    <row r="2309">
      <c r="A2309">
        <f>NAV!A2310</f>
        <v/>
      </c>
      <c r="B2309">
        <f>IFERROR(NAV!B2310/NAV!B2309-1,"")</f>
        <v/>
      </c>
      <c r="C2309">
        <f>IFERROR(NAV!C2310/NAV!C2309-1,"")</f>
        <v/>
      </c>
    </row>
    <row r="2310">
      <c r="A2310">
        <f>NAV!A2311</f>
        <v/>
      </c>
      <c r="B2310">
        <f>IFERROR(NAV!B2311/NAV!B2310-1,"")</f>
        <v/>
      </c>
      <c r="C2310">
        <f>IFERROR(NAV!C2311/NAV!C2310-1,"")</f>
        <v/>
      </c>
    </row>
    <row r="2311">
      <c r="A2311">
        <f>NAV!A2312</f>
        <v/>
      </c>
      <c r="B2311">
        <f>IFERROR(NAV!B2312/NAV!B2311-1,"")</f>
        <v/>
      </c>
      <c r="C2311">
        <f>IFERROR(NAV!C2312/NAV!C2311-1,"")</f>
        <v/>
      </c>
    </row>
    <row r="2312">
      <c r="A2312">
        <f>NAV!A2313</f>
        <v/>
      </c>
      <c r="B2312">
        <f>IFERROR(NAV!B2313/NAV!B2312-1,"")</f>
        <v/>
      </c>
      <c r="C2312">
        <f>IFERROR(NAV!C2313/NAV!C2312-1,"")</f>
        <v/>
      </c>
    </row>
    <row r="2313">
      <c r="A2313">
        <f>NAV!A2314</f>
        <v/>
      </c>
      <c r="B2313">
        <f>IFERROR(NAV!B2314/NAV!B2313-1,"")</f>
        <v/>
      </c>
      <c r="C2313">
        <f>IFERROR(NAV!C2314/NAV!C2313-1,"")</f>
        <v/>
      </c>
    </row>
    <row r="2314">
      <c r="A2314">
        <f>NAV!A2315</f>
        <v/>
      </c>
      <c r="B2314">
        <f>IFERROR(NAV!B2315/NAV!B2314-1,"")</f>
        <v/>
      </c>
      <c r="C2314">
        <f>IFERROR(NAV!C2315/NAV!C2314-1,"")</f>
        <v/>
      </c>
    </row>
    <row r="2315">
      <c r="A2315">
        <f>NAV!A2316</f>
        <v/>
      </c>
      <c r="B2315">
        <f>IFERROR(NAV!B2316/NAV!B2315-1,"")</f>
        <v/>
      </c>
      <c r="C2315">
        <f>IFERROR(NAV!C2316/NAV!C2315-1,"")</f>
        <v/>
      </c>
    </row>
    <row r="2316">
      <c r="A2316">
        <f>NAV!A2317</f>
        <v/>
      </c>
      <c r="B2316">
        <f>IFERROR(NAV!B2317/NAV!B2316-1,"")</f>
        <v/>
      </c>
      <c r="C2316">
        <f>IFERROR(NAV!C2317/NAV!C2316-1,"")</f>
        <v/>
      </c>
    </row>
    <row r="2317">
      <c r="A2317">
        <f>NAV!A2318</f>
        <v/>
      </c>
      <c r="B2317">
        <f>IFERROR(NAV!B2318/NAV!B2317-1,"")</f>
        <v/>
      </c>
      <c r="C2317">
        <f>IFERROR(NAV!C2318/NAV!C2317-1,"")</f>
        <v/>
      </c>
    </row>
    <row r="2318">
      <c r="A2318">
        <f>NAV!A2319</f>
        <v/>
      </c>
      <c r="B2318">
        <f>IFERROR(NAV!B2319/NAV!B2318-1,"")</f>
        <v/>
      </c>
      <c r="C2318">
        <f>IFERROR(NAV!C2319/NAV!C2318-1,"")</f>
        <v/>
      </c>
    </row>
    <row r="2319">
      <c r="A2319">
        <f>NAV!A2320</f>
        <v/>
      </c>
      <c r="B2319">
        <f>IFERROR(NAV!B2320/NAV!B2319-1,"")</f>
        <v/>
      </c>
      <c r="C2319">
        <f>IFERROR(NAV!C2320/NAV!C2319-1,"")</f>
        <v/>
      </c>
    </row>
    <row r="2320">
      <c r="A2320">
        <f>NAV!A2321</f>
        <v/>
      </c>
      <c r="B2320">
        <f>IFERROR(NAV!B2321/NAV!B2320-1,"")</f>
        <v/>
      </c>
      <c r="C2320">
        <f>IFERROR(NAV!C2321/NAV!C2320-1,"")</f>
        <v/>
      </c>
    </row>
    <row r="2321">
      <c r="A2321">
        <f>NAV!A2322</f>
        <v/>
      </c>
      <c r="B2321">
        <f>IFERROR(NAV!B2322/NAV!B2321-1,"")</f>
        <v/>
      </c>
      <c r="C2321">
        <f>IFERROR(NAV!C2322/NAV!C2321-1,"")</f>
        <v/>
      </c>
    </row>
    <row r="2322">
      <c r="A2322">
        <f>NAV!A2323</f>
        <v/>
      </c>
      <c r="B2322">
        <f>IFERROR(NAV!B2323/NAV!B2322-1,"")</f>
        <v/>
      </c>
      <c r="C2322">
        <f>IFERROR(NAV!C2323/NAV!C2322-1,"")</f>
        <v/>
      </c>
    </row>
    <row r="2323">
      <c r="A2323">
        <f>NAV!A2324</f>
        <v/>
      </c>
      <c r="B2323">
        <f>IFERROR(NAV!B2324/NAV!B2323-1,"")</f>
        <v/>
      </c>
      <c r="C2323">
        <f>IFERROR(NAV!C2324/NAV!C2323-1,"")</f>
        <v/>
      </c>
    </row>
    <row r="2324">
      <c r="A2324">
        <f>NAV!A2325</f>
        <v/>
      </c>
      <c r="B2324">
        <f>IFERROR(NAV!B2325/NAV!B2324-1,"")</f>
        <v/>
      </c>
      <c r="C2324">
        <f>IFERROR(NAV!C2325/NAV!C2324-1,"")</f>
        <v/>
      </c>
    </row>
    <row r="2325">
      <c r="A2325">
        <f>NAV!A2326</f>
        <v/>
      </c>
      <c r="B2325">
        <f>IFERROR(NAV!B2326/NAV!B2325-1,"")</f>
        <v/>
      </c>
      <c r="C2325">
        <f>IFERROR(NAV!C2326/NAV!C2325-1,"")</f>
        <v/>
      </c>
    </row>
    <row r="2326">
      <c r="A2326">
        <f>NAV!A2327</f>
        <v/>
      </c>
      <c r="B2326">
        <f>IFERROR(NAV!B2327/NAV!B2326-1,"")</f>
        <v/>
      </c>
      <c r="C2326">
        <f>IFERROR(NAV!C2327/NAV!C2326-1,"")</f>
        <v/>
      </c>
    </row>
    <row r="2327">
      <c r="A2327">
        <f>NAV!A2328</f>
        <v/>
      </c>
      <c r="B2327">
        <f>IFERROR(NAV!B2328/NAV!B2327-1,"")</f>
        <v/>
      </c>
      <c r="C2327">
        <f>IFERROR(NAV!C2328/NAV!C2327-1,"")</f>
        <v/>
      </c>
    </row>
    <row r="2328">
      <c r="A2328">
        <f>NAV!A2329</f>
        <v/>
      </c>
      <c r="B2328">
        <f>IFERROR(NAV!B2329/NAV!B2328-1,"")</f>
        <v/>
      </c>
      <c r="C2328">
        <f>IFERROR(NAV!C2329/NAV!C2328-1,"")</f>
        <v/>
      </c>
    </row>
    <row r="2329">
      <c r="A2329">
        <f>NAV!A2330</f>
        <v/>
      </c>
      <c r="B2329">
        <f>IFERROR(NAV!B2330/NAV!B2329-1,"")</f>
        <v/>
      </c>
      <c r="C2329">
        <f>IFERROR(NAV!C2330/NAV!C2329-1,"")</f>
        <v/>
      </c>
    </row>
    <row r="2330">
      <c r="A2330">
        <f>NAV!A2331</f>
        <v/>
      </c>
      <c r="B2330">
        <f>IFERROR(NAV!B2331/NAV!B2330-1,"")</f>
        <v/>
      </c>
      <c r="C2330">
        <f>IFERROR(NAV!C2331/NAV!C2330-1,"")</f>
        <v/>
      </c>
    </row>
    <row r="2331">
      <c r="A2331">
        <f>NAV!A2332</f>
        <v/>
      </c>
      <c r="B2331">
        <f>IFERROR(NAV!B2332/NAV!B2331-1,"")</f>
        <v/>
      </c>
      <c r="C2331">
        <f>IFERROR(NAV!C2332/NAV!C2331-1,"")</f>
        <v/>
      </c>
    </row>
    <row r="2332">
      <c r="A2332">
        <f>NAV!A2333</f>
        <v/>
      </c>
      <c r="B2332">
        <f>IFERROR(NAV!B2333/NAV!B2332-1,"")</f>
        <v/>
      </c>
      <c r="C2332">
        <f>IFERROR(NAV!C2333/NAV!C2332-1,"")</f>
        <v/>
      </c>
    </row>
    <row r="2333">
      <c r="A2333">
        <f>NAV!A2334</f>
        <v/>
      </c>
      <c r="B2333">
        <f>IFERROR(NAV!B2334/NAV!B2333-1,"")</f>
        <v/>
      </c>
      <c r="C2333">
        <f>IFERROR(NAV!C2334/NAV!C2333-1,"")</f>
        <v/>
      </c>
    </row>
    <row r="2334">
      <c r="A2334">
        <f>NAV!A2335</f>
        <v/>
      </c>
      <c r="B2334">
        <f>IFERROR(NAV!B2335/NAV!B2334-1,"")</f>
        <v/>
      </c>
      <c r="C2334">
        <f>IFERROR(NAV!C2335/NAV!C2334-1,"")</f>
        <v/>
      </c>
    </row>
    <row r="2335">
      <c r="A2335">
        <f>NAV!A2336</f>
        <v/>
      </c>
      <c r="B2335">
        <f>IFERROR(NAV!B2336/NAV!B2335-1,"")</f>
        <v/>
      </c>
      <c r="C2335">
        <f>IFERROR(NAV!C2336/NAV!C2335-1,"")</f>
        <v/>
      </c>
    </row>
    <row r="2336">
      <c r="A2336">
        <f>NAV!A2337</f>
        <v/>
      </c>
      <c r="B2336">
        <f>IFERROR(NAV!B2337/NAV!B2336-1,"")</f>
        <v/>
      </c>
      <c r="C2336">
        <f>IFERROR(NAV!C2337/NAV!C2336-1,"")</f>
        <v/>
      </c>
    </row>
    <row r="2337">
      <c r="A2337">
        <f>NAV!A2338</f>
        <v/>
      </c>
      <c r="B2337">
        <f>IFERROR(NAV!B2338/NAV!B2337-1,"")</f>
        <v/>
      </c>
      <c r="C2337">
        <f>IFERROR(NAV!C2338/NAV!C2337-1,"")</f>
        <v/>
      </c>
    </row>
    <row r="2338">
      <c r="A2338">
        <f>NAV!A2339</f>
        <v/>
      </c>
      <c r="B2338">
        <f>IFERROR(NAV!B2339/NAV!B2338-1,"")</f>
        <v/>
      </c>
      <c r="C2338">
        <f>IFERROR(NAV!C2339/NAV!C2338-1,"")</f>
        <v/>
      </c>
    </row>
    <row r="2339">
      <c r="A2339">
        <f>NAV!A2340</f>
        <v/>
      </c>
      <c r="B2339">
        <f>IFERROR(NAV!B2340/NAV!B2339-1,"")</f>
        <v/>
      </c>
      <c r="C2339">
        <f>IFERROR(NAV!C2340/NAV!C2339-1,"")</f>
        <v/>
      </c>
    </row>
    <row r="2340">
      <c r="A2340">
        <f>NAV!A2341</f>
        <v/>
      </c>
      <c r="B2340">
        <f>IFERROR(NAV!B2341/NAV!B2340-1,"")</f>
        <v/>
      </c>
      <c r="C2340">
        <f>IFERROR(NAV!C2341/NAV!C2340-1,"")</f>
        <v/>
      </c>
    </row>
    <row r="2341">
      <c r="A2341">
        <f>NAV!A2342</f>
        <v/>
      </c>
      <c r="B2341">
        <f>IFERROR(NAV!B2342/NAV!B2341-1,"")</f>
        <v/>
      </c>
      <c r="C2341">
        <f>IFERROR(NAV!C2342/NAV!C2341-1,"")</f>
        <v/>
      </c>
    </row>
    <row r="2342">
      <c r="A2342">
        <f>NAV!A2343</f>
        <v/>
      </c>
      <c r="B2342">
        <f>IFERROR(NAV!B2343/NAV!B2342-1,"")</f>
        <v/>
      </c>
      <c r="C2342">
        <f>IFERROR(NAV!C2343/NAV!C2342-1,"")</f>
        <v/>
      </c>
    </row>
    <row r="2343">
      <c r="A2343">
        <f>NAV!A2344</f>
        <v/>
      </c>
      <c r="B2343">
        <f>IFERROR(NAV!B2344/NAV!B2343-1,"")</f>
        <v/>
      </c>
      <c r="C2343">
        <f>IFERROR(NAV!C2344/NAV!C2343-1,"")</f>
        <v/>
      </c>
    </row>
    <row r="2344">
      <c r="A2344">
        <f>NAV!A2345</f>
        <v/>
      </c>
      <c r="B2344">
        <f>IFERROR(NAV!B2345/NAV!B2344-1,"")</f>
        <v/>
      </c>
      <c r="C2344">
        <f>IFERROR(NAV!C2345/NAV!C2344-1,"")</f>
        <v/>
      </c>
    </row>
    <row r="2345">
      <c r="A2345">
        <f>NAV!A2346</f>
        <v/>
      </c>
      <c r="B2345">
        <f>IFERROR(NAV!B2346/NAV!B2345-1,"")</f>
        <v/>
      </c>
      <c r="C2345">
        <f>IFERROR(NAV!C2346/NAV!C2345-1,"")</f>
        <v/>
      </c>
    </row>
    <row r="2346">
      <c r="A2346">
        <f>NAV!A2347</f>
        <v/>
      </c>
      <c r="B2346">
        <f>IFERROR(NAV!B2347/NAV!B2346-1,"")</f>
        <v/>
      </c>
      <c r="C2346">
        <f>IFERROR(NAV!C2347/NAV!C2346-1,"")</f>
        <v/>
      </c>
    </row>
    <row r="2347">
      <c r="A2347">
        <f>NAV!A2348</f>
        <v/>
      </c>
      <c r="B2347">
        <f>IFERROR(NAV!B2348/NAV!B2347-1,"")</f>
        <v/>
      </c>
      <c r="C2347">
        <f>IFERROR(NAV!C2348/NAV!C2347-1,"")</f>
        <v/>
      </c>
    </row>
    <row r="2348">
      <c r="A2348">
        <f>NAV!A2349</f>
        <v/>
      </c>
      <c r="B2348">
        <f>IFERROR(NAV!B2349/NAV!B2348-1,"")</f>
        <v/>
      </c>
      <c r="C2348">
        <f>IFERROR(NAV!C2349/NAV!C2348-1,"")</f>
        <v/>
      </c>
    </row>
    <row r="2349">
      <c r="A2349">
        <f>NAV!A2350</f>
        <v/>
      </c>
      <c r="B2349">
        <f>IFERROR(NAV!B2350/NAV!B2349-1,"")</f>
        <v/>
      </c>
      <c r="C2349">
        <f>IFERROR(NAV!C2350/NAV!C2349-1,"")</f>
        <v/>
      </c>
    </row>
    <row r="2350">
      <c r="A2350">
        <f>NAV!A2351</f>
        <v/>
      </c>
      <c r="B2350">
        <f>IFERROR(NAV!B2351/NAV!B2350-1,"")</f>
        <v/>
      </c>
      <c r="C2350">
        <f>IFERROR(NAV!C2351/NAV!C2350-1,"")</f>
        <v/>
      </c>
    </row>
    <row r="2351">
      <c r="A2351">
        <f>NAV!A2352</f>
        <v/>
      </c>
      <c r="B2351">
        <f>IFERROR(NAV!B2352/NAV!B2351-1,"")</f>
        <v/>
      </c>
      <c r="C2351">
        <f>IFERROR(NAV!C2352/NAV!C2351-1,"")</f>
        <v/>
      </c>
    </row>
    <row r="2352">
      <c r="A2352">
        <f>NAV!A2353</f>
        <v/>
      </c>
      <c r="B2352">
        <f>IFERROR(NAV!B2353/NAV!B2352-1,"")</f>
        <v/>
      </c>
      <c r="C2352">
        <f>IFERROR(NAV!C2353/NAV!C2352-1,"")</f>
        <v/>
      </c>
    </row>
    <row r="2353">
      <c r="A2353">
        <f>NAV!A2354</f>
        <v/>
      </c>
      <c r="B2353">
        <f>IFERROR(NAV!B2354/NAV!B2353-1,"")</f>
        <v/>
      </c>
      <c r="C2353">
        <f>IFERROR(NAV!C2354/NAV!C2353-1,"")</f>
        <v/>
      </c>
    </row>
    <row r="2354">
      <c r="A2354">
        <f>NAV!A2355</f>
        <v/>
      </c>
      <c r="B2354">
        <f>IFERROR(NAV!B2355/NAV!B2354-1,"")</f>
        <v/>
      </c>
      <c r="C2354">
        <f>IFERROR(NAV!C2355/NAV!C2354-1,"")</f>
        <v/>
      </c>
    </row>
    <row r="2355">
      <c r="A2355">
        <f>NAV!A2356</f>
        <v/>
      </c>
      <c r="B2355">
        <f>IFERROR(NAV!B2356/NAV!B2355-1,"")</f>
        <v/>
      </c>
      <c r="C2355">
        <f>IFERROR(NAV!C2356/NAV!C2355-1,"")</f>
        <v/>
      </c>
    </row>
    <row r="2356">
      <c r="A2356">
        <f>NAV!A2357</f>
        <v/>
      </c>
      <c r="B2356">
        <f>IFERROR(NAV!B2357/NAV!B2356-1,"")</f>
        <v/>
      </c>
      <c r="C2356">
        <f>IFERROR(NAV!C2357/NAV!C2356-1,"")</f>
        <v/>
      </c>
    </row>
    <row r="2357">
      <c r="A2357">
        <f>NAV!A2358</f>
        <v/>
      </c>
      <c r="B2357">
        <f>IFERROR(NAV!B2358/NAV!B2357-1,"")</f>
        <v/>
      </c>
      <c r="C2357">
        <f>IFERROR(NAV!C2358/NAV!C2357-1,"")</f>
        <v/>
      </c>
    </row>
    <row r="2358">
      <c r="A2358">
        <f>NAV!A2359</f>
        <v/>
      </c>
      <c r="B2358">
        <f>IFERROR(NAV!B2359/NAV!B2358-1,"")</f>
        <v/>
      </c>
      <c r="C2358">
        <f>IFERROR(NAV!C2359/NAV!C2358-1,"")</f>
        <v/>
      </c>
    </row>
    <row r="2359">
      <c r="A2359">
        <f>NAV!A2360</f>
        <v/>
      </c>
      <c r="B2359">
        <f>IFERROR(NAV!B2360/NAV!B2359-1,"")</f>
        <v/>
      </c>
      <c r="C2359">
        <f>IFERROR(NAV!C2360/NAV!C2359-1,"")</f>
        <v/>
      </c>
    </row>
    <row r="2360">
      <c r="A2360">
        <f>NAV!A2361</f>
        <v/>
      </c>
      <c r="B2360">
        <f>IFERROR(NAV!B2361/NAV!B2360-1,"")</f>
        <v/>
      </c>
      <c r="C2360">
        <f>IFERROR(NAV!C2361/NAV!C2360-1,"")</f>
        <v/>
      </c>
    </row>
    <row r="2361">
      <c r="A2361">
        <f>NAV!A2362</f>
        <v/>
      </c>
      <c r="B2361">
        <f>IFERROR(NAV!B2362/NAV!B2361-1,"")</f>
        <v/>
      </c>
      <c r="C2361">
        <f>IFERROR(NAV!C2362/NAV!C2361-1,"")</f>
        <v/>
      </c>
    </row>
    <row r="2362">
      <c r="A2362">
        <f>NAV!A2363</f>
        <v/>
      </c>
      <c r="B2362">
        <f>IFERROR(NAV!B2363/NAV!B2362-1,"")</f>
        <v/>
      </c>
      <c r="C2362">
        <f>IFERROR(NAV!C2363/NAV!C2362-1,"")</f>
        <v/>
      </c>
    </row>
    <row r="2363">
      <c r="A2363">
        <f>NAV!A2364</f>
        <v/>
      </c>
      <c r="B2363">
        <f>IFERROR(NAV!B2364/NAV!B2363-1,"")</f>
        <v/>
      </c>
      <c r="C2363">
        <f>IFERROR(NAV!C2364/NAV!C2363-1,"")</f>
        <v/>
      </c>
    </row>
    <row r="2364">
      <c r="A2364">
        <f>NAV!A2365</f>
        <v/>
      </c>
      <c r="B2364">
        <f>IFERROR(NAV!B2365/NAV!B2364-1,"")</f>
        <v/>
      </c>
      <c r="C2364">
        <f>IFERROR(NAV!C2365/NAV!C2364-1,"")</f>
        <v/>
      </c>
    </row>
    <row r="2365">
      <c r="A2365">
        <f>NAV!A2366</f>
        <v/>
      </c>
      <c r="B2365">
        <f>IFERROR(NAV!B2366/NAV!B2365-1,"")</f>
        <v/>
      </c>
      <c r="C2365">
        <f>IFERROR(NAV!C2366/NAV!C2365-1,"")</f>
        <v/>
      </c>
    </row>
    <row r="2366">
      <c r="A2366">
        <f>NAV!A2367</f>
        <v/>
      </c>
      <c r="B2366">
        <f>IFERROR(NAV!B2367/NAV!B2366-1,"")</f>
        <v/>
      </c>
      <c r="C2366">
        <f>IFERROR(NAV!C2367/NAV!C2366-1,"")</f>
        <v/>
      </c>
    </row>
    <row r="2367">
      <c r="A2367">
        <f>NAV!A2368</f>
        <v/>
      </c>
      <c r="B2367">
        <f>IFERROR(NAV!B2368/NAV!B2367-1,"")</f>
        <v/>
      </c>
      <c r="C2367">
        <f>IFERROR(NAV!C2368/NAV!C2367-1,"")</f>
        <v/>
      </c>
    </row>
    <row r="2368">
      <c r="A2368">
        <f>NAV!A2369</f>
        <v/>
      </c>
      <c r="B2368">
        <f>IFERROR(NAV!B2369/NAV!B2368-1,"")</f>
        <v/>
      </c>
      <c r="C2368">
        <f>IFERROR(NAV!C2369/NAV!C2368-1,"")</f>
        <v/>
      </c>
    </row>
    <row r="2369">
      <c r="A2369">
        <f>NAV!A2370</f>
        <v/>
      </c>
      <c r="B2369">
        <f>IFERROR(NAV!B2370/NAV!B2369-1,"")</f>
        <v/>
      </c>
      <c r="C2369">
        <f>IFERROR(NAV!C2370/NAV!C2369-1,"")</f>
        <v/>
      </c>
    </row>
    <row r="2370">
      <c r="A2370">
        <f>NAV!A2371</f>
        <v/>
      </c>
      <c r="B2370">
        <f>IFERROR(NAV!B2371/NAV!B2370-1,"")</f>
        <v/>
      </c>
      <c r="C2370">
        <f>IFERROR(NAV!C2371/NAV!C2370-1,"")</f>
        <v/>
      </c>
    </row>
    <row r="2371">
      <c r="A2371">
        <f>NAV!A2372</f>
        <v/>
      </c>
      <c r="B2371">
        <f>IFERROR(NAV!B2372/NAV!B2371-1,"")</f>
        <v/>
      </c>
      <c r="C2371">
        <f>IFERROR(NAV!C2372/NAV!C2371-1,"")</f>
        <v/>
      </c>
    </row>
    <row r="2372">
      <c r="A2372">
        <f>NAV!A2373</f>
        <v/>
      </c>
      <c r="B2372">
        <f>IFERROR(NAV!B2373/NAV!B2372-1,"")</f>
        <v/>
      </c>
      <c r="C2372">
        <f>IFERROR(NAV!C2373/NAV!C2372-1,"")</f>
        <v/>
      </c>
    </row>
    <row r="2373">
      <c r="A2373">
        <f>NAV!A2374</f>
        <v/>
      </c>
      <c r="B2373">
        <f>IFERROR(NAV!B2374/NAV!B2373-1,"")</f>
        <v/>
      </c>
      <c r="C2373">
        <f>IFERROR(NAV!C2374/NAV!C2373-1,"")</f>
        <v/>
      </c>
    </row>
    <row r="2374">
      <c r="A2374">
        <f>NAV!A2375</f>
        <v/>
      </c>
      <c r="B2374">
        <f>IFERROR(NAV!B2375/NAV!B2374-1,"")</f>
        <v/>
      </c>
      <c r="C2374">
        <f>IFERROR(NAV!C2375/NAV!C2374-1,"")</f>
        <v/>
      </c>
    </row>
    <row r="2375">
      <c r="A2375">
        <f>NAV!A2376</f>
        <v/>
      </c>
      <c r="B2375">
        <f>IFERROR(NAV!B2376/NAV!B2375-1,"")</f>
        <v/>
      </c>
      <c r="C2375">
        <f>IFERROR(NAV!C2376/NAV!C2375-1,"")</f>
        <v/>
      </c>
    </row>
    <row r="2376">
      <c r="A2376">
        <f>NAV!A2377</f>
        <v/>
      </c>
      <c r="B2376">
        <f>IFERROR(NAV!B2377/NAV!B2376-1,"")</f>
        <v/>
      </c>
      <c r="C2376">
        <f>IFERROR(NAV!C2377/NAV!C2376-1,"")</f>
        <v/>
      </c>
    </row>
    <row r="2377">
      <c r="A2377">
        <f>NAV!A2378</f>
        <v/>
      </c>
      <c r="B2377">
        <f>IFERROR(NAV!B2378/NAV!B2377-1,"")</f>
        <v/>
      </c>
      <c r="C2377">
        <f>IFERROR(NAV!C2378/NAV!C2377-1,"")</f>
        <v/>
      </c>
    </row>
    <row r="2378">
      <c r="A2378">
        <f>NAV!A2379</f>
        <v/>
      </c>
      <c r="B2378">
        <f>IFERROR(NAV!B2379/NAV!B2378-1,"")</f>
        <v/>
      </c>
      <c r="C2378">
        <f>IFERROR(NAV!C2379/NAV!C2378-1,"")</f>
        <v/>
      </c>
    </row>
    <row r="2379">
      <c r="A2379">
        <f>NAV!A2380</f>
        <v/>
      </c>
      <c r="B2379">
        <f>IFERROR(NAV!B2380/NAV!B2379-1,"")</f>
        <v/>
      </c>
      <c r="C2379">
        <f>IFERROR(NAV!C2380/NAV!C2379-1,"")</f>
        <v/>
      </c>
    </row>
    <row r="2380">
      <c r="A2380">
        <f>NAV!A2381</f>
        <v/>
      </c>
      <c r="B2380">
        <f>IFERROR(NAV!B2381/NAV!B2380-1,"")</f>
        <v/>
      </c>
      <c r="C2380">
        <f>IFERROR(NAV!C2381/NAV!C2380-1,"")</f>
        <v/>
      </c>
    </row>
    <row r="2381">
      <c r="A2381">
        <f>NAV!A2382</f>
        <v/>
      </c>
      <c r="B2381">
        <f>IFERROR(NAV!B2382/NAV!B2381-1,"")</f>
        <v/>
      </c>
      <c r="C2381">
        <f>IFERROR(NAV!C2382/NAV!C2381-1,"")</f>
        <v/>
      </c>
    </row>
    <row r="2382">
      <c r="A2382">
        <f>NAV!A2383</f>
        <v/>
      </c>
      <c r="B2382">
        <f>IFERROR(NAV!B2383/NAV!B2382-1,"")</f>
        <v/>
      </c>
      <c r="C2382">
        <f>IFERROR(NAV!C2383/NAV!C2382-1,"")</f>
        <v/>
      </c>
    </row>
    <row r="2383">
      <c r="A2383">
        <f>NAV!A2384</f>
        <v/>
      </c>
      <c r="B2383">
        <f>IFERROR(NAV!B2384/NAV!B2383-1,"")</f>
        <v/>
      </c>
      <c r="C2383">
        <f>IFERROR(NAV!C2384/NAV!C2383-1,"")</f>
        <v/>
      </c>
    </row>
    <row r="2384">
      <c r="A2384">
        <f>NAV!A2385</f>
        <v/>
      </c>
      <c r="B2384">
        <f>IFERROR(NAV!B2385/NAV!B2384-1,"")</f>
        <v/>
      </c>
      <c r="C2384">
        <f>IFERROR(NAV!C2385/NAV!C2384-1,"")</f>
        <v/>
      </c>
    </row>
    <row r="2385">
      <c r="A2385">
        <f>NAV!A2386</f>
        <v/>
      </c>
      <c r="B2385">
        <f>IFERROR(NAV!B2386/NAV!B2385-1,"")</f>
        <v/>
      </c>
      <c r="C2385">
        <f>IFERROR(NAV!C2386/NAV!C2385-1,"")</f>
        <v/>
      </c>
    </row>
    <row r="2386">
      <c r="A2386">
        <f>NAV!A2387</f>
        <v/>
      </c>
      <c r="B2386">
        <f>IFERROR(NAV!B2387/NAV!B2386-1,"")</f>
        <v/>
      </c>
      <c r="C2386">
        <f>IFERROR(NAV!C2387/NAV!C2386-1,"")</f>
        <v/>
      </c>
    </row>
    <row r="2387">
      <c r="A2387">
        <f>NAV!A2388</f>
        <v/>
      </c>
      <c r="B2387">
        <f>IFERROR(NAV!B2388/NAV!B2387-1,"")</f>
        <v/>
      </c>
      <c r="C2387">
        <f>IFERROR(NAV!C2388/NAV!C2387-1,"")</f>
        <v/>
      </c>
    </row>
    <row r="2388">
      <c r="A2388">
        <f>NAV!A2389</f>
        <v/>
      </c>
      <c r="B2388">
        <f>IFERROR(NAV!B2389/NAV!B2388-1,"")</f>
        <v/>
      </c>
      <c r="C2388">
        <f>IFERROR(NAV!C2389/NAV!C2388-1,"")</f>
        <v/>
      </c>
    </row>
    <row r="2389">
      <c r="A2389">
        <f>NAV!A2390</f>
        <v/>
      </c>
      <c r="B2389">
        <f>IFERROR(NAV!B2390/NAV!B2389-1,"")</f>
        <v/>
      </c>
      <c r="C2389">
        <f>IFERROR(NAV!C2390/NAV!C2389-1,"")</f>
        <v/>
      </c>
    </row>
    <row r="2390">
      <c r="A2390">
        <f>NAV!A2391</f>
        <v/>
      </c>
      <c r="B2390">
        <f>IFERROR(NAV!B2391/NAV!B2390-1,"")</f>
        <v/>
      </c>
      <c r="C2390">
        <f>IFERROR(NAV!C2391/NAV!C2390-1,"")</f>
        <v/>
      </c>
    </row>
    <row r="2391">
      <c r="A2391">
        <f>NAV!A2392</f>
        <v/>
      </c>
      <c r="B2391">
        <f>IFERROR(NAV!B2392/NAV!B2391-1,"")</f>
        <v/>
      </c>
      <c r="C2391">
        <f>IFERROR(NAV!C2392/NAV!C2391-1,"")</f>
        <v/>
      </c>
    </row>
    <row r="2392">
      <c r="A2392">
        <f>NAV!A2393</f>
        <v/>
      </c>
      <c r="B2392">
        <f>IFERROR(NAV!B2393/NAV!B2392-1,"")</f>
        <v/>
      </c>
      <c r="C2392">
        <f>IFERROR(NAV!C2393/NAV!C2392-1,"")</f>
        <v/>
      </c>
    </row>
    <row r="2393">
      <c r="A2393">
        <f>NAV!A2394</f>
        <v/>
      </c>
      <c r="B2393">
        <f>IFERROR(NAV!B2394/NAV!B2393-1,"")</f>
        <v/>
      </c>
      <c r="C2393">
        <f>IFERROR(NAV!C2394/NAV!C2393-1,"")</f>
        <v/>
      </c>
    </row>
    <row r="2394">
      <c r="A2394">
        <f>NAV!A2395</f>
        <v/>
      </c>
      <c r="B2394">
        <f>IFERROR(NAV!B2395/NAV!B2394-1,"")</f>
        <v/>
      </c>
      <c r="C2394">
        <f>IFERROR(NAV!C2395/NAV!C2394-1,"")</f>
        <v/>
      </c>
    </row>
    <row r="2395">
      <c r="A2395">
        <f>NAV!A2396</f>
        <v/>
      </c>
      <c r="B2395">
        <f>IFERROR(NAV!B2396/NAV!B2395-1,"")</f>
        <v/>
      </c>
      <c r="C2395">
        <f>IFERROR(NAV!C2396/NAV!C2395-1,"")</f>
        <v/>
      </c>
    </row>
    <row r="2396">
      <c r="A2396">
        <f>NAV!A2397</f>
        <v/>
      </c>
      <c r="B2396">
        <f>IFERROR(NAV!B2397/NAV!B2396-1,"")</f>
        <v/>
      </c>
      <c r="C2396">
        <f>IFERROR(NAV!C2397/NAV!C2396-1,"")</f>
        <v/>
      </c>
    </row>
    <row r="2397">
      <c r="A2397">
        <f>NAV!A2398</f>
        <v/>
      </c>
      <c r="B2397">
        <f>IFERROR(NAV!B2398/NAV!B2397-1,"")</f>
        <v/>
      </c>
      <c r="C2397">
        <f>IFERROR(NAV!C2398/NAV!C2397-1,"")</f>
        <v/>
      </c>
    </row>
    <row r="2398">
      <c r="A2398">
        <f>NAV!A2399</f>
        <v/>
      </c>
      <c r="B2398">
        <f>IFERROR(NAV!B2399/NAV!B2398-1,"")</f>
        <v/>
      </c>
      <c r="C2398">
        <f>IFERROR(NAV!C2399/NAV!C2398-1,"")</f>
        <v/>
      </c>
    </row>
    <row r="2399">
      <c r="A2399">
        <f>NAV!A2400</f>
        <v/>
      </c>
      <c r="B2399">
        <f>IFERROR(NAV!B2400/NAV!B2399-1,"")</f>
        <v/>
      </c>
      <c r="C2399">
        <f>IFERROR(NAV!C2400/NAV!C2399-1,"")</f>
        <v/>
      </c>
    </row>
    <row r="2400">
      <c r="A2400">
        <f>NAV!A2401</f>
        <v/>
      </c>
      <c r="B2400">
        <f>IFERROR(NAV!B2401/NAV!B2400-1,"")</f>
        <v/>
      </c>
      <c r="C2400">
        <f>IFERROR(NAV!C2401/NAV!C2400-1,"")</f>
        <v/>
      </c>
    </row>
    <row r="2401">
      <c r="A2401">
        <f>NAV!A2402</f>
        <v/>
      </c>
      <c r="B2401">
        <f>IFERROR(NAV!B2402/NAV!B2401-1,"")</f>
        <v/>
      </c>
      <c r="C2401">
        <f>IFERROR(NAV!C2402/NAV!C2401-1,"")</f>
        <v/>
      </c>
    </row>
    <row r="2402">
      <c r="A2402">
        <f>NAV!A2403</f>
        <v/>
      </c>
      <c r="B2402">
        <f>IFERROR(NAV!B2403/NAV!B2402-1,"")</f>
        <v/>
      </c>
      <c r="C2402">
        <f>IFERROR(NAV!C2403/NAV!C2402-1,"")</f>
        <v/>
      </c>
    </row>
    <row r="2403">
      <c r="A2403">
        <f>NAV!A2404</f>
        <v/>
      </c>
      <c r="B2403">
        <f>IFERROR(NAV!B2404/NAV!B2403-1,"")</f>
        <v/>
      </c>
      <c r="C2403">
        <f>IFERROR(NAV!C2404/NAV!C2403-1,"")</f>
        <v/>
      </c>
    </row>
    <row r="2404">
      <c r="A2404">
        <f>NAV!A2405</f>
        <v/>
      </c>
      <c r="B2404">
        <f>IFERROR(NAV!B2405/NAV!B2404-1,"")</f>
        <v/>
      </c>
      <c r="C2404">
        <f>IFERROR(NAV!C2405/NAV!C2404-1,"")</f>
        <v/>
      </c>
    </row>
    <row r="2405">
      <c r="A2405">
        <f>NAV!A2406</f>
        <v/>
      </c>
      <c r="B2405">
        <f>IFERROR(NAV!B2406/NAV!B2405-1,"")</f>
        <v/>
      </c>
      <c r="C2405">
        <f>IFERROR(NAV!C2406/NAV!C2405-1,"")</f>
        <v/>
      </c>
    </row>
    <row r="2406">
      <c r="A2406">
        <f>NAV!A2407</f>
        <v/>
      </c>
      <c r="B2406">
        <f>IFERROR(NAV!B2407/NAV!B2406-1,"")</f>
        <v/>
      </c>
      <c r="C2406">
        <f>IFERROR(NAV!C2407/NAV!C2406-1,"")</f>
        <v/>
      </c>
    </row>
    <row r="2407">
      <c r="A2407">
        <f>NAV!A2408</f>
        <v/>
      </c>
      <c r="B2407">
        <f>IFERROR(NAV!B2408/NAV!B2407-1,"")</f>
        <v/>
      </c>
      <c r="C2407">
        <f>IFERROR(NAV!C2408/NAV!C2407-1,"")</f>
        <v/>
      </c>
    </row>
    <row r="2408">
      <c r="A2408">
        <f>NAV!A2409</f>
        <v/>
      </c>
      <c r="B2408">
        <f>IFERROR(NAV!B2409/NAV!B2408-1,"")</f>
        <v/>
      </c>
      <c r="C2408">
        <f>IFERROR(NAV!C2409/NAV!C2408-1,"")</f>
        <v/>
      </c>
    </row>
    <row r="2409">
      <c r="A2409">
        <f>NAV!A2410</f>
        <v/>
      </c>
      <c r="B2409">
        <f>IFERROR(NAV!B2410/NAV!B2409-1,"")</f>
        <v/>
      </c>
      <c r="C2409">
        <f>IFERROR(NAV!C2410/NAV!C2409-1,"")</f>
        <v/>
      </c>
    </row>
    <row r="2410">
      <c r="A2410">
        <f>NAV!A2411</f>
        <v/>
      </c>
      <c r="B2410">
        <f>IFERROR(NAV!B2411/NAV!B2410-1,"")</f>
        <v/>
      </c>
      <c r="C2410">
        <f>IFERROR(NAV!C2411/NAV!C2410-1,"")</f>
        <v/>
      </c>
    </row>
    <row r="2411">
      <c r="A2411">
        <f>NAV!A2412</f>
        <v/>
      </c>
      <c r="B2411">
        <f>IFERROR(NAV!B2412/NAV!B2411-1,"")</f>
        <v/>
      </c>
      <c r="C2411">
        <f>IFERROR(NAV!C2412/NAV!C2411-1,"")</f>
        <v/>
      </c>
    </row>
    <row r="2412">
      <c r="A2412">
        <f>NAV!A2413</f>
        <v/>
      </c>
      <c r="B2412">
        <f>IFERROR(NAV!B2413/NAV!B2412-1,"")</f>
        <v/>
      </c>
      <c r="C2412">
        <f>IFERROR(NAV!C2413/NAV!C2412-1,"")</f>
        <v/>
      </c>
    </row>
    <row r="2413">
      <c r="A2413">
        <f>NAV!A2414</f>
        <v/>
      </c>
      <c r="B2413">
        <f>IFERROR(NAV!B2414/NAV!B2413-1,"")</f>
        <v/>
      </c>
      <c r="C2413">
        <f>IFERROR(NAV!C2414/NAV!C2413-1,"")</f>
        <v/>
      </c>
    </row>
    <row r="2414">
      <c r="A2414">
        <f>NAV!A2415</f>
        <v/>
      </c>
      <c r="B2414">
        <f>IFERROR(NAV!B2415/NAV!B2414-1,"")</f>
        <v/>
      </c>
      <c r="C2414">
        <f>IFERROR(NAV!C2415/NAV!C2414-1,"")</f>
        <v/>
      </c>
    </row>
    <row r="2415">
      <c r="A2415">
        <f>NAV!A2416</f>
        <v/>
      </c>
      <c r="B2415">
        <f>IFERROR(NAV!B2416/NAV!B2415-1,"")</f>
        <v/>
      </c>
      <c r="C2415">
        <f>IFERROR(NAV!C2416/NAV!C2415-1,"")</f>
        <v/>
      </c>
    </row>
    <row r="2416">
      <c r="A2416">
        <f>NAV!A2417</f>
        <v/>
      </c>
      <c r="B2416">
        <f>IFERROR(NAV!B2417/NAV!B2416-1,"")</f>
        <v/>
      </c>
      <c r="C2416">
        <f>IFERROR(NAV!C2417/NAV!C2416-1,"")</f>
        <v/>
      </c>
    </row>
    <row r="2417">
      <c r="A2417">
        <f>NAV!A2418</f>
        <v/>
      </c>
      <c r="B2417">
        <f>IFERROR(NAV!B2418/NAV!B2417-1,"")</f>
        <v/>
      </c>
      <c r="C2417">
        <f>IFERROR(NAV!C2418/NAV!C2417-1,"")</f>
        <v/>
      </c>
    </row>
    <row r="2418">
      <c r="A2418">
        <f>NAV!A2419</f>
        <v/>
      </c>
      <c r="B2418">
        <f>IFERROR(NAV!B2419/NAV!B2418-1,"")</f>
        <v/>
      </c>
      <c r="C2418">
        <f>IFERROR(NAV!C2419/NAV!C2418-1,"")</f>
        <v/>
      </c>
    </row>
    <row r="2419">
      <c r="A2419">
        <f>NAV!A2420</f>
        <v/>
      </c>
      <c r="B2419">
        <f>IFERROR(NAV!B2420/NAV!B2419-1,"")</f>
        <v/>
      </c>
      <c r="C2419">
        <f>IFERROR(NAV!C2420/NAV!C2419-1,"")</f>
        <v/>
      </c>
    </row>
    <row r="2420">
      <c r="A2420">
        <f>NAV!A2421</f>
        <v/>
      </c>
      <c r="B2420">
        <f>IFERROR(NAV!B2421/NAV!B2420-1,"")</f>
        <v/>
      </c>
      <c r="C2420">
        <f>IFERROR(NAV!C2421/NAV!C2420-1,"")</f>
        <v/>
      </c>
    </row>
    <row r="2421">
      <c r="A2421">
        <f>NAV!A2422</f>
        <v/>
      </c>
      <c r="B2421">
        <f>IFERROR(NAV!B2422/NAV!B2421-1,"")</f>
        <v/>
      </c>
      <c r="C2421">
        <f>IFERROR(NAV!C2422/NAV!C2421-1,"")</f>
        <v/>
      </c>
    </row>
    <row r="2422">
      <c r="A2422">
        <f>NAV!A2423</f>
        <v/>
      </c>
      <c r="B2422">
        <f>IFERROR(NAV!B2423/NAV!B2422-1,"")</f>
        <v/>
      </c>
      <c r="C2422">
        <f>IFERROR(NAV!C2423/NAV!C2422-1,"")</f>
        <v/>
      </c>
    </row>
    <row r="2423">
      <c r="A2423">
        <f>NAV!A2424</f>
        <v/>
      </c>
      <c r="B2423">
        <f>IFERROR(NAV!B2424/NAV!B2423-1,"")</f>
        <v/>
      </c>
      <c r="C2423">
        <f>IFERROR(NAV!C2424/NAV!C2423-1,"")</f>
        <v/>
      </c>
    </row>
    <row r="2424">
      <c r="A2424">
        <f>NAV!A2425</f>
        <v/>
      </c>
      <c r="B2424">
        <f>IFERROR(NAV!B2425/NAV!B2424-1,"")</f>
        <v/>
      </c>
      <c r="C2424">
        <f>IFERROR(NAV!C2425/NAV!C2424-1,"")</f>
        <v/>
      </c>
    </row>
    <row r="2425">
      <c r="A2425">
        <f>NAV!A2426</f>
        <v/>
      </c>
      <c r="B2425">
        <f>IFERROR(NAV!B2426/NAV!B2425-1,"")</f>
        <v/>
      </c>
      <c r="C2425">
        <f>IFERROR(NAV!C2426/NAV!C2425-1,"")</f>
        <v/>
      </c>
    </row>
    <row r="2426">
      <c r="A2426">
        <f>NAV!A2427</f>
        <v/>
      </c>
      <c r="B2426">
        <f>IFERROR(NAV!B2427/NAV!B2426-1,"")</f>
        <v/>
      </c>
      <c r="C2426">
        <f>IFERROR(NAV!C2427/NAV!C2426-1,"")</f>
        <v/>
      </c>
    </row>
    <row r="2427">
      <c r="A2427">
        <f>NAV!A2428</f>
        <v/>
      </c>
      <c r="B2427">
        <f>IFERROR(NAV!B2428/NAV!B2427-1,"")</f>
        <v/>
      </c>
      <c r="C2427">
        <f>IFERROR(NAV!C2428/NAV!C2427-1,"")</f>
        <v/>
      </c>
    </row>
    <row r="2428">
      <c r="A2428">
        <f>NAV!A2429</f>
        <v/>
      </c>
      <c r="B2428">
        <f>IFERROR(NAV!B2429/NAV!B2428-1,"")</f>
        <v/>
      </c>
      <c r="C2428">
        <f>IFERROR(NAV!C2429/NAV!C2428-1,"")</f>
        <v/>
      </c>
    </row>
    <row r="2429">
      <c r="A2429">
        <f>NAV!A2430</f>
        <v/>
      </c>
      <c r="B2429">
        <f>IFERROR(NAV!B2430/NAV!B2429-1,"")</f>
        <v/>
      </c>
      <c r="C2429">
        <f>IFERROR(NAV!C2430/NAV!C2429-1,"")</f>
        <v/>
      </c>
    </row>
    <row r="2430">
      <c r="A2430">
        <f>NAV!A2431</f>
        <v/>
      </c>
      <c r="B2430">
        <f>IFERROR(NAV!B2431/NAV!B2430-1,"")</f>
        <v/>
      </c>
      <c r="C2430">
        <f>IFERROR(NAV!C2431/NAV!C2430-1,"")</f>
        <v/>
      </c>
    </row>
    <row r="2431">
      <c r="A2431">
        <f>NAV!A2432</f>
        <v/>
      </c>
      <c r="B2431">
        <f>IFERROR(NAV!B2432/NAV!B2431-1,"")</f>
        <v/>
      </c>
      <c r="C2431">
        <f>IFERROR(NAV!C2432/NAV!C2431-1,"")</f>
        <v/>
      </c>
    </row>
    <row r="2432">
      <c r="A2432">
        <f>NAV!A2433</f>
        <v/>
      </c>
      <c r="B2432">
        <f>IFERROR(NAV!B2433/NAV!B2432-1,"")</f>
        <v/>
      </c>
      <c r="C2432">
        <f>IFERROR(NAV!C2433/NAV!C2432-1,"")</f>
        <v/>
      </c>
    </row>
    <row r="2433">
      <c r="A2433">
        <f>NAV!A2434</f>
        <v/>
      </c>
      <c r="B2433">
        <f>IFERROR(NAV!B2434/NAV!B2433-1,"")</f>
        <v/>
      </c>
      <c r="C2433">
        <f>IFERROR(NAV!C2434/NAV!C2433-1,"")</f>
        <v/>
      </c>
    </row>
    <row r="2434">
      <c r="A2434">
        <f>NAV!A2435</f>
        <v/>
      </c>
      <c r="B2434">
        <f>IFERROR(NAV!B2435/NAV!B2434-1,"")</f>
        <v/>
      </c>
      <c r="C2434">
        <f>IFERROR(NAV!C2435/NAV!C2434-1,"")</f>
        <v/>
      </c>
    </row>
    <row r="2435">
      <c r="A2435">
        <f>NAV!A2436</f>
        <v/>
      </c>
      <c r="B2435">
        <f>IFERROR(NAV!B2436/NAV!B2435-1,"")</f>
        <v/>
      </c>
      <c r="C2435">
        <f>IFERROR(NAV!C2436/NAV!C2435-1,"")</f>
        <v/>
      </c>
    </row>
    <row r="2436">
      <c r="A2436">
        <f>NAV!A2437</f>
        <v/>
      </c>
      <c r="B2436">
        <f>IFERROR(NAV!B2437/NAV!B2436-1,"")</f>
        <v/>
      </c>
      <c r="C2436">
        <f>IFERROR(NAV!C2437/NAV!C2436-1,"")</f>
        <v/>
      </c>
    </row>
    <row r="2437">
      <c r="A2437">
        <f>NAV!A2438</f>
        <v/>
      </c>
      <c r="B2437">
        <f>IFERROR(NAV!B2438/NAV!B2437-1,"")</f>
        <v/>
      </c>
      <c r="C2437">
        <f>IFERROR(NAV!C2438/NAV!C2437-1,"")</f>
        <v/>
      </c>
    </row>
    <row r="2438">
      <c r="A2438">
        <f>NAV!A2439</f>
        <v/>
      </c>
      <c r="B2438">
        <f>IFERROR(NAV!B2439/NAV!B2438-1,"")</f>
        <v/>
      </c>
      <c r="C2438">
        <f>IFERROR(NAV!C2439/NAV!C2438-1,"")</f>
        <v/>
      </c>
    </row>
    <row r="2439">
      <c r="A2439">
        <f>NAV!A2440</f>
        <v/>
      </c>
      <c r="B2439">
        <f>IFERROR(NAV!B2440/NAV!B2439-1,"")</f>
        <v/>
      </c>
      <c r="C2439">
        <f>IFERROR(NAV!C2440/NAV!C2439-1,"")</f>
        <v/>
      </c>
    </row>
    <row r="2440">
      <c r="A2440">
        <f>NAV!A2441</f>
        <v/>
      </c>
      <c r="B2440">
        <f>IFERROR(NAV!B2441/NAV!B2440-1,"")</f>
        <v/>
      </c>
      <c r="C2440">
        <f>IFERROR(NAV!C2441/NAV!C2440-1,"")</f>
        <v/>
      </c>
    </row>
    <row r="2441">
      <c r="A2441">
        <f>NAV!A2442</f>
        <v/>
      </c>
      <c r="B2441">
        <f>IFERROR(NAV!B2442/NAV!B2441-1,"")</f>
        <v/>
      </c>
      <c r="C2441">
        <f>IFERROR(NAV!C2442/NAV!C2441-1,"")</f>
        <v/>
      </c>
    </row>
    <row r="2442">
      <c r="A2442">
        <f>NAV!A2443</f>
        <v/>
      </c>
      <c r="B2442">
        <f>IFERROR(NAV!B2443/NAV!B2442-1,"")</f>
        <v/>
      </c>
      <c r="C2442">
        <f>IFERROR(NAV!C2443/NAV!C2442-1,"")</f>
        <v/>
      </c>
    </row>
    <row r="2443">
      <c r="A2443">
        <f>NAV!A2444</f>
        <v/>
      </c>
      <c r="B2443">
        <f>IFERROR(NAV!B2444/NAV!B2443-1,"")</f>
        <v/>
      </c>
      <c r="C2443">
        <f>IFERROR(NAV!C2444/NAV!C2443-1,"")</f>
        <v/>
      </c>
    </row>
    <row r="2444">
      <c r="A2444">
        <f>NAV!A2445</f>
        <v/>
      </c>
      <c r="B2444">
        <f>IFERROR(NAV!B2445/NAV!B2444-1,"")</f>
        <v/>
      </c>
      <c r="C2444">
        <f>IFERROR(NAV!C2445/NAV!C2444-1,"")</f>
        <v/>
      </c>
    </row>
    <row r="2445">
      <c r="A2445">
        <f>NAV!A2446</f>
        <v/>
      </c>
      <c r="B2445">
        <f>IFERROR(NAV!B2446/NAV!B2445-1,"")</f>
        <v/>
      </c>
      <c r="C2445">
        <f>IFERROR(NAV!C2446/NAV!C2445-1,"")</f>
        <v/>
      </c>
    </row>
    <row r="2446">
      <c r="A2446">
        <f>NAV!A2447</f>
        <v/>
      </c>
      <c r="B2446">
        <f>IFERROR(NAV!B2447/NAV!B2446-1,"")</f>
        <v/>
      </c>
      <c r="C2446">
        <f>IFERROR(NAV!C2447/NAV!C2446-1,"")</f>
        <v/>
      </c>
    </row>
    <row r="2447">
      <c r="A2447">
        <f>NAV!A2448</f>
        <v/>
      </c>
      <c r="B2447">
        <f>IFERROR(NAV!B2448/NAV!B2447-1,"")</f>
        <v/>
      </c>
      <c r="C2447">
        <f>IFERROR(NAV!C2448/NAV!C2447-1,"")</f>
        <v/>
      </c>
    </row>
    <row r="2448">
      <c r="A2448">
        <f>NAV!A2449</f>
        <v/>
      </c>
      <c r="B2448">
        <f>IFERROR(NAV!B2449/NAV!B2448-1,"")</f>
        <v/>
      </c>
      <c r="C2448">
        <f>IFERROR(NAV!C2449/NAV!C2448-1,"")</f>
        <v/>
      </c>
    </row>
    <row r="2449">
      <c r="A2449">
        <f>NAV!A2450</f>
        <v/>
      </c>
      <c r="B2449">
        <f>IFERROR(NAV!B2450/NAV!B2449-1,"")</f>
        <v/>
      </c>
      <c r="C2449">
        <f>IFERROR(NAV!C2450/NAV!C2449-1,"")</f>
        <v/>
      </c>
    </row>
    <row r="2450">
      <c r="A2450">
        <f>NAV!A2451</f>
        <v/>
      </c>
      <c r="B2450">
        <f>IFERROR(NAV!B2451/NAV!B2450-1,"")</f>
        <v/>
      </c>
      <c r="C2450">
        <f>IFERROR(NAV!C2451/NAV!C2450-1,"")</f>
        <v/>
      </c>
    </row>
    <row r="2451">
      <c r="A2451">
        <f>NAV!A2452</f>
        <v/>
      </c>
      <c r="B2451">
        <f>IFERROR(NAV!B2452/NAV!B2451-1,"")</f>
        <v/>
      </c>
      <c r="C2451">
        <f>IFERROR(NAV!C2452/NAV!C2451-1,"")</f>
        <v/>
      </c>
    </row>
    <row r="2452">
      <c r="A2452">
        <f>NAV!A2453</f>
        <v/>
      </c>
      <c r="B2452">
        <f>IFERROR(NAV!B2453/NAV!B2452-1,"")</f>
        <v/>
      </c>
      <c r="C2452">
        <f>IFERROR(NAV!C2453/NAV!C2452-1,"")</f>
        <v/>
      </c>
    </row>
    <row r="2453">
      <c r="A2453">
        <f>NAV!A2454</f>
        <v/>
      </c>
      <c r="B2453">
        <f>IFERROR(NAV!B2454/NAV!B2453-1,"")</f>
        <v/>
      </c>
      <c r="C2453">
        <f>IFERROR(NAV!C2454/NAV!C2453-1,"")</f>
        <v/>
      </c>
    </row>
    <row r="2454">
      <c r="A2454">
        <f>NAV!A2455</f>
        <v/>
      </c>
      <c r="B2454">
        <f>IFERROR(NAV!B2455/NAV!B2454-1,"")</f>
        <v/>
      </c>
      <c r="C2454">
        <f>IFERROR(NAV!C2455/NAV!C2454-1,"")</f>
        <v/>
      </c>
    </row>
    <row r="2455">
      <c r="A2455">
        <f>NAV!A2456</f>
        <v/>
      </c>
      <c r="B2455">
        <f>IFERROR(NAV!B2456/NAV!B2455-1,"")</f>
        <v/>
      </c>
      <c r="C2455">
        <f>IFERROR(NAV!C2456/NAV!C2455-1,"")</f>
        <v/>
      </c>
    </row>
    <row r="2456">
      <c r="A2456">
        <f>NAV!A2457</f>
        <v/>
      </c>
      <c r="B2456">
        <f>IFERROR(NAV!B2457/NAV!B2456-1,"")</f>
        <v/>
      </c>
      <c r="C2456">
        <f>IFERROR(NAV!C2457/NAV!C2456-1,"")</f>
        <v/>
      </c>
    </row>
    <row r="2457">
      <c r="A2457">
        <f>NAV!A2458</f>
        <v/>
      </c>
      <c r="B2457">
        <f>IFERROR(NAV!B2458/NAV!B2457-1,"")</f>
        <v/>
      </c>
      <c r="C2457">
        <f>IFERROR(NAV!C2458/NAV!C2457-1,"")</f>
        <v/>
      </c>
    </row>
    <row r="2458">
      <c r="A2458">
        <f>NAV!A2459</f>
        <v/>
      </c>
      <c r="B2458">
        <f>IFERROR(NAV!B2459/NAV!B2458-1,"")</f>
        <v/>
      </c>
      <c r="C2458">
        <f>IFERROR(NAV!C2459/NAV!C2458-1,"")</f>
        <v/>
      </c>
    </row>
    <row r="2459">
      <c r="A2459">
        <f>NAV!A2460</f>
        <v/>
      </c>
      <c r="B2459">
        <f>IFERROR(NAV!B2460/NAV!B2459-1,"")</f>
        <v/>
      </c>
      <c r="C2459">
        <f>IFERROR(NAV!C2460/NAV!C2459-1,"")</f>
        <v/>
      </c>
    </row>
    <row r="2460">
      <c r="A2460">
        <f>NAV!A2461</f>
        <v/>
      </c>
      <c r="B2460">
        <f>IFERROR(NAV!B2461/NAV!B2460-1,"")</f>
        <v/>
      </c>
      <c r="C2460">
        <f>IFERROR(NAV!C2461/NAV!C2460-1,"")</f>
        <v/>
      </c>
    </row>
    <row r="2461">
      <c r="A2461">
        <f>NAV!A2462</f>
        <v/>
      </c>
      <c r="B2461">
        <f>IFERROR(NAV!B2462/NAV!B2461-1,"")</f>
        <v/>
      </c>
      <c r="C2461">
        <f>IFERROR(NAV!C2462/NAV!C2461-1,"")</f>
        <v/>
      </c>
    </row>
    <row r="2462">
      <c r="A2462">
        <f>NAV!A2463</f>
        <v/>
      </c>
      <c r="B2462">
        <f>IFERROR(NAV!B2463/NAV!B2462-1,"")</f>
        <v/>
      </c>
      <c r="C2462">
        <f>IFERROR(NAV!C2463/NAV!C2462-1,"")</f>
        <v/>
      </c>
    </row>
    <row r="2463">
      <c r="A2463">
        <f>NAV!A2464</f>
        <v/>
      </c>
      <c r="B2463">
        <f>IFERROR(NAV!B2464/NAV!B2463-1,"")</f>
        <v/>
      </c>
      <c r="C2463">
        <f>IFERROR(NAV!C2464/NAV!C2463-1,"")</f>
        <v/>
      </c>
    </row>
    <row r="2464">
      <c r="A2464">
        <f>NAV!A2465</f>
        <v/>
      </c>
      <c r="B2464">
        <f>IFERROR(NAV!B2465/NAV!B2464-1,"")</f>
        <v/>
      </c>
      <c r="C2464">
        <f>IFERROR(NAV!C2465/NAV!C2464-1,"")</f>
        <v/>
      </c>
    </row>
    <row r="2465">
      <c r="A2465">
        <f>NAV!A2466</f>
        <v/>
      </c>
      <c r="B2465">
        <f>IFERROR(NAV!B2466/NAV!B2465-1,"")</f>
        <v/>
      </c>
      <c r="C2465">
        <f>IFERROR(NAV!C2466/NAV!C2465-1,"")</f>
        <v/>
      </c>
    </row>
    <row r="2466">
      <c r="A2466">
        <f>NAV!A2467</f>
        <v/>
      </c>
      <c r="B2466">
        <f>IFERROR(NAV!B2467/NAV!B2466-1,"")</f>
        <v/>
      </c>
      <c r="C2466">
        <f>IFERROR(NAV!C2467/NAV!C2466-1,"")</f>
        <v/>
      </c>
    </row>
    <row r="2467">
      <c r="A2467">
        <f>NAV!A2468</f>
        <v/>
      </c>
      <c r="B2467">
        <f>IFERROR(NAV!B2468/NAV!B2467-1,"")</f>
        <v/>
      </c>
      <c r="C2467">
        <f>IFERROR(NAV!C2468/NAV!C2467-1,"")</f>
        <v/>
      </c>
    </row>
    <row r="2468">
      <c r="A2468">
        <f>NAV!A2469</f>
        <v/>
      </c>
      <c r="B2468">
        <f>IFERROR(NAV!B2469/NAV!B2468-1,"")</f>
        <v/>
      </c>
      <c r="C2468">
        <f>IFERROR(NAV!C2469/NAV!C2468-1,"")</f>
        <v/>
      </c>
    </row>
    <row r="2469">
      <c r="A2469">
        <f>NAV!A2470</f>
        <v/>
      </c>
      <c r="B2469">
        <f>IFERROR(NAV!B2470/NAV!B2469-1,"")</f>
        <v/>
      </c>
      <c r="C2469">
        <f>IFERROR(NAV!C2470/NAV!C2469-1,"")</f>
        <v/>
      </c>
    </row>
    <row r="2470">
      <c r="A2470">
        <f>NAV!A2471</f>
        <v/>
      </c>
      <c r="B2470">
        <f>IFERROR(NAV!B2471/NAV!B2470-1,"")</f>
        <v/>
      </c>
      <c r="C2470">
        <f>IFERROR(NAV!C2471/NAV!C2470-1,"")</f>
        <v/>
      </c>
    </row>
    <row r="2471">
      <c r="A2471">
        <f>NAV!A2472</f>
        <v/>
      </c>
      <c r="B2471">
        <f>IFERROR(NAV!B2472/NAV!B2471-1,"")</f>
        <v/>
      </c>
      <c r="C2471">
        <f>IFERROR(NAV!C2472/NAV!C2471-1,"")</f>
        <v/>
      </c>
    </row>
    <row r="2472">
      <c r="A2472">
        <f>NAV!A2473</f>
        <v/>
      </c>
      <c r="B2472">
        <f>IFERROR(NAV!B2473/NAV!B2472-1,"")</f>
        <v/>
      </c>
      <c r="C2472">
        <f>IFERROR(NAV!C2473/NAV!C2472-1,"")</f>
        <v/>
      </c>
    </row>
    <row r="2473">
      <c r="A2473">
        <f>NAV!A2474</f>
        <v/>
      </c>
      <c r="B2473">
        <f>IFERROR(NAV!B2474/NAV!B2473-1,"")</f>
        <v/>
      </c>
      <c r="C2473">
        <f>IFERROR(NAV!C2474/NAV!C2473-1,"")</f>
        <v/>
      </c>
    </row>
    <row r="2474">
      <c r="A2474">
        <f>NAV!A2475</f>
        <v/>
      </c>
      <c r="B2474">
        <f>IFERROR(NAV!B2475/NAV!B2474-1,"")</f>
        <v/>
      </c>
      <c r="C2474">
        <f>IFERROR(NAV!C2475/NAV!C2474-1,"")</f>
        <v/>
      </c>
    </row>
    <row r="2475">
      <c r="A2475">
        <f>NAV!A2476</f>
        <v/>
      </c>
      <c r="B2475">
        <f>IFERROR(NAV!B2476/NAV!B2475-1,"")</f>
        <v/>
      </c>
      <c r="C2475">
        <f>IFERROR(NAV!C2476/NAV!C2475-1,"")</f>
        <v/>
      </c>
    </row>
    <row r="2476">
      <c r="A2476">
        <f>NAV!A2477</f>
        <v/>
      </c>
      <c r="B2476">
        <f>IFERROR(NAV!B2477/NAV!B2476-1,"")</f>
        <v/>
      </c>
      <c r="C2476">
        <f>IFERROR(NAV!C2477/NAV!C2476-1,"")</f>
        <v/>
      </c>
    </row>
    <row r="2477">
      <c r="A2477">
        <f>NAV!A2478</f>
        <v/>
      </c>
      <c r="B2477">
        <f>IFERROR(NAV!B2478/NAV!B2477-1,"")</f>
        <v/>
      </c>
      <c r="C2477">
        <f>IFERROR(NAV!C2478/NAV!C2477-1,"")</f>
        <v/>
      </c>
    </row>
    <row r="2478">
      <c r="A2478">
        <f>NAV!A2479</f>
        <v/>
      </c>
      <c r="B2478">
        <f>IFERROR(NAV!B2479/NAV!B2478-1,"")</f>
        <v/>
      </c>
      <c r="C2478">
        <f>IFERROR(NAV!C2479/NAV!C2478-1,"")</f>
        <v/>
      </c>
    </row>
    <row r="2479">
      <c r="A2479">
        <f>NAV!A2480</f>
        <v/>
      </c>
      <c r="B2479">
        <f>IFERROR(NAV!B2480/NAV!B2479-1,"")</f>
        <v/>
      </c>
      <c r="C2479">
        <f>IFERROR(NAV!C2480/NAV!C2479-1,"")</f>
        <v/>
      </c>
    </row>
    <row r="2480">
      <c r="A2480">
        <f>NAV!A2481</f>
        <v/>
      </c>
      <c r="B2480">
        <f>IFERROR(NAV!B2481/NAV!B2480-1,"")</f>
        <v/>
      </c>
      <c r="C2480">
        <f>IFERROR(NAV!C2481/NAV!C2480-1,"")</f>
        <v/>
      </c>
    </row>
    <row r="2481">
      <c r="A2481">
        <f>NAV!A2482</f>
        <v/>
      </c>
      <c r="B2481">
        <f>IFERROR(NAV!B2482/NAV!B2481-1,"")</f>
        <v/>
      </c>
      <c r="C2481">
        <f>IFERROR(NAV!C2482/NAV!C2481-1,"")</f>
        <v/>
      </c>
    </row>
    <row r="2482">
      <c r="A2482">
        <f>NAV!A2483</f>
        <v/>
      </c>
      <c r="B2482">
        <f>IFERROR(NAV!B2483/NAV!B2482-1,"")</f>
        <v/>
      </c>
      <c r="C2482">
        <f>IFERROR(NAV!C2483/NAV!C2482-1,"")</f>
        <v/>
      </c>
    </row>
    <row r="2483">
      <c r="A2483">
        <f>NAV!A2484</f>
        <v/>
      </c>
      <c r="B2483">
        <f>IFERROR(NAV!B2484/NAV!B2483-1,"")</f>
        <v/>
      </c>
      <c r="C2483">
        <f>IFERROR(NAV!C2484/NAV!C2483-1,"")</f>
        <v/>
      </c>
    </row>
    <row r="2484">
      <c r="A2484">
        <f>NAV!A2485</f>
        <v/>
      </c>
      <c r="B2484">
        <f>IFERROR(NAV!B2485/NAV!B2484-1,"")</f>
        <v/>
      </c>
      <c r="C2484">
        <f>IFERROR(NAV!C2485/NAV!C2484-1,"")</f>
        <v/>
      </c>
    </row>
    <row r="2485">
      <c r="A2485">
        <f>NAV!A2486</f>
        <v/>
      </c>
      <c r="B2485">
        <f>IFERROR(NAV!B2486/NAV!B2485-1,"")</f>
        <v/>
      </c>
      <c r="C2485">
        <f>IFERROR(NAV!C2486/NAV!C2485-1,"")</f>
        <v/>
      </c>
    </row>
    <row r="2486">
      <c r="A2486">
        <f>NAV!A2487</f>
        <v/>
      </c>
      <c r="B2486">
        <f>IFERROR(NAV!B2487/NAV!B2486-1,"")</f>
        <v/>
      </c>
      <c r="C2486">
        <f>IFERROR(NAV!C2487/NAV!C2486-1,"")</f>
        <v/>
      </c>
    </row>
    <row r="2487">
      <c r="A2487">
        <f>NAV!A2488</f>
        <v/>
      </c>
      <c r="B2487">
        <f>IFERROR(NAV!B2488/NAV!B2487-1,"")</f>
        <v/>
      </c>
      <c r="C2487">
        <f>IFERROR(NAV!C2488/NAV!C2487-1,"")</f>
        <v/>
      </c>
    </row>
    <row r="2488">
      <c r="A2488">
        <f>NAV!A2489</f>
        <v/>
      </c>
      <c r="B2488">
        <f>IFERROR(NAV!B2489/NAV!B2488-1,"")</f>
        <v/>
      </c>
      <c r="C2488">
        <f>IFERROR(NAV!C2489/NAV!C2488-1,"")</f>
        <v/>
      </c>
    </row>
    <row r="2489">
      <c r="A2489">
        <f>NAV!A2490</f>
        <v/>
      </c>
      <c r="B2489">
        <f>IFERROR(NAV!B2490/NAV!B2489-1,"")</f>
        <v/>
      </c>
      <c r="C2489">
        <f>IFERROR(NAV!C2490/NAV!C2489-1,"")</f>
        <v/>
      </c>
    </row>
    <row r="2490">
      <c r="A2490">
        <f>NAV!A2491</f>
        <v/>
      </c>
      <c r="B2490">
        <f>IFERROR(NAV!B2491/NAV!B2490-1,"")</f>
        <v/>
      </c>
      <c r="C2490">
        <f>IFERROR(NAV!C2491/NAV!C2490-1,"")</f>
        <v/>
      </c>
    </row>
    <row r="2491">
      <c r="A2491">
        <f>NAV!A2492</f>
        <v/>
      </c>
      <c r="B2491">
        <f>IFERROR(NAV!B2492/NAV!B2491-1,"")</f>
        <v/>
      </c>
      <c r="C2491">
        <f>IFERROR(NAV!C2492/NAV!C2491-1,"")</f>
        <v/>
      </c>
    </row>
    <row r="2492">
      <c r="A2492">
        <f>NAV!A2493</f>
        <v/>
      </c>
      <c r="B2492">
        <f>IFERROR(NAV!B2493/NAV!B2492-1,"")</f>
        <v/>
      </c>
      <c r="C2492">
        <f>IFERROR(NAV!C2493/NAV!C2492-1,"")</f>
        <v/>
      </c>
    </row>
    <row r="2493">
      <c r="A2493">
        <f>NAV!A2494</f>
        <v/>
      </c>
      <c r="B2493">
        <f>IFERROR(NAV!B2494/NAV!B2493-1,"")</f>
        <v/>
      </c>
      <c r="C2493">
        <f>IFERROR(NAV!C2494/NAV!C2493-1,"")</f>
        <v/>
      </c>
    </row>
    <row r="2494">
      <c r="A2494">
        <f>NAV!A2495</f>
        <v/>
      </c>
      <c r="B2494">
        <f>IFERROR(NAV!B2495/NAV!B2494-1,"")</f>
        <v/>
      </c>
      <c r="C2494">
        <f>IFERROR(NAV!C2495/NAV!C2494-1,"")</f>
        <v/>
      </c>
    </row>
    <row r="2495">
      <c r="A2495">
        <f>NAV!A2496</f>
        <v/>
      </c>
      <c r="B2495">
        <f>IFERROR(NAV!B2496/NAV!B2495-1,"")</f>
        <v/>
      </c>
      <c r="C2495">
        <f>IFERROR(NAV!C2496/NAV!C2495-1,"")</f>
        <v/>
      </c>
    </row>
    <row r="2496">
      <c r="A2496">
        <f>NAV!A2497</f>
        <v/>
      </c>
      <c r="B2496">
        <f>IFERROR(NAV!B2497/NAV!B2496-1,"")</f>
        <v/>
      </c>
      <c r="C2496">
        <f>IFERROR(NAV!C2497/NAV!C2496-1,"")</f>
        <v/>
      </c>
    </row>
    <row r="2497">
      <c r="A2497">
        <f>NAV!A2498</f>
        <v/>
      </c>
      <c r="B2497">
        <f>IFERROR(NAV!B2498/NAV!B2497-1,"")</f>
        <v/>
      </c>
      <c r="C2497">
        <f>IFERROR(NAV!C2498/NAV!C2497-1,"")</f>
        <v/>
      </c>
    </row>
    <row r="2498">
      <c r="A2498">
        <f>NAV!A2499</f>
        <v/>
      </c>
      <c r="B2498">
        <f>IFERROR(NAV!B2499/NAV!B2498-1,"")</f>
        <v/>
      </c>
      <c r="C2498">
        <f>IFERROR(NAV!C2499/NAV!C2498-1,"")</f>
        <v/>
      </c>
    </row>
    <row r="2499">
      <c r="A2499">
        <f>NAV!A2500</f>
        <v/>
      </c>
      <c r="B2499">
        <f>IFERROR(NAV!B2500/NAV!B2499-1,"")</f>
        <v/>
      </c>
      <c r="C2499">
        <f>IFERROR(NAV!C2500/NAV!C2499-1,"")</f>
        <v/>
      </c>
    </row>
    <row r="2500">
      <c r="A2500">
        <f>NAV!A2501</f>
        <v/>
      </c>
      <c r="B2500">
        <f>IFERROR(NAV!B2501/NAV!B2500-1,"")</f>
        <v/>
      </c>
      <c r="C2500">
        <f>IFERROR(NAV!C2501/NAV!C2500-1,"")</f>
        <v/>
      </c>
    </row>
    <row r="2501">
      <c r="A2501">
        <f>NAV!A2502</f>
        <v/>
      </c>
      <c r="B2501">
        <f>IFERROR(NAV!B2502/NAV!B2501-1,"")</f>
        <v/>
      </c>
      <c r="C2501">
        <f>IFERROR(NAV!C2502/NAV!C2501-1,"")</f>
        <v/>
      </c>
    </row>
    <row r="2502">
      <c r="A2502">
        <f>NAV!A2503</f>
        <v/>
      </c>
      <c r="B2502">
        <f>IFERROR(NAV!B2503/NAV!B2502-1,"")</f>
        <v/>
      </c>
      <c r="C2502">
        <f>IFERROR(NAV!C2503/NAV!C2502-1,"")</f>
        <v/>
      </c>
    </row>
    <row r="2503">
      <c r="A2503">
        <f>NAV!A2504</f>
        <v/>
      </c>
      <c r="B2503">
        <f>IFERROR(NAV!B2504/NAV!B2503-1,"")</f>
        <v/>
      </c>
      <c r="C2503">
        <f>IFERROR(NAV!C2504/NAV!C2503-1,"")</f>
        <v/>
      </c>
    </row>
    <row r="2504">
      <c r="A2504">
        <f>NAV!A2505</f>
        <v/>
      </c>
      <c r="B2504">
        <f>IFERROR(NAV!B2505/NAV!B2504-1,"")</f>
        <v/>
      </c>
      <c r="C2504">
        <f>IFERROR(NAV!C2505/NAV!C2504-1,"")</f>
        <v/>
      </c>
    </row>
    <row r="2505">
      <c r="A2505">
        <f>NAV!A2506</f>
        <v/>
      </c>
      <c r="B2505">
        <f>IFERROR(NAV!B2506/NAV!B2505-1,"")</f>
        <v/>
      </c>
      <c r="C2505">
        <f>IFERROR(NAV!C2506/NAV!C2505-1,"")</f>
        <v/>
      </c>
    </row>
    <row r="2506">
      <c r="A2506">
        <f>NAV!A2507</f>
        <v/>
      </c>
      <c r="B2506">
        <f>IFERROR(NAV!B2507/NAV!B2506-1,"")</f>
        <v/>
      </c>
      <c r="C2506">
        <f>IFERROR(NAV!C2507/NAV!C2506-1,"")</f>
        <v/>
      </c>
    </row>
    <row r="2507">
      <c r="A2507">
        <f>NAV!A2508</f>
        <v/>
      </c>
      <c r="B2507">
        <f>IFERROR(NAV!B2508/NAV!B2507-1,"")</f>
        <v/>
      </c>
      <c r="C2507">
        <f>IFERROR(NAV!C2508/NAV!C2507-1,"")</f>
        <v/>
      </c>
    </row>
    <row r="2508">
      <c r="A2508">
        <f>NAV!A2509</f>
        <v/>
      </c>
      <c r="B2508">
        <f>IFERROR(NAV!B2509/NAV!B2508-1,"")</f>
        <v/>
      </c>
      <c r="C2508">
        <f>IFERROR(NAV!C2509/NAV!C2508-1,"")</f>
        <v/>
      </c>
    </row>
    <row r="2509">
      <c r="A2509">
        <f>NAV!A2510</f>
        <v/>
      </c>
      <c r="B2509">
        <f>IFERROR(NAV!B2510/NAV!B2509-1,"")</f>
        <v/>
      </c>
      <c r="C2509">
        <f>IFERROR(NAV!C2510/NAV!C2509-1,"")</f>
        <v/>
      </c>
    </row>
    <row r="2510">
      <c r="A2510">
        <f>NAV!A2511</f>
        <v/>
      </c>
      <c r="B2510">
        <f>IFERROR(NAV!B2511/NAV!B2510-1,"")</f>
        <v/>
      </c>
      <c r="C2510">
        <f>IFERROR(NAV!C2511/NAV!C2510-1,"")</f>
        <v/>
      </c>
    </row>
    <row r="2511">
      <c r="A2511">
        <f>NAV!A2512</f>
        <v/>
      </c>
      <c r="B2511">
        <f>IFERROR(NAV!B2512/NAV!B2511-1,"")</f>
        <v/>
      </c>
      <c r="C2511">
        <f>IFERROR(NAV!C2512/NAV!C2511-1,"")</f>
        <v/>
      </c>
    </row>
    <row r="2512">
      <c r="A2512">
        <f>NAV!A2513</f>
        <v/>
      </c>
      <c r="B2512">
        <f>IFERROR(NAV!B2513/NAV!B2512-1,"")</f>
        <v/>
      </c>
      <c r="C2512">
        <f>IFERROR(NAV!C2513/NAV!C2512-1,"")</f>
        <v/>
      </c>
    </row>
    <row r="2513">
      <c r="A2513">
        <f>NAV!A2514</f>
        <v/>
      </c>
      <c r="B2513">
        <f>IFERROR(NAV!B2514/NAV!B2513-1,"")</f>
        <v/>
      </c>
      <c r="C2513">
        <f>IFERROR(NAV!C2514/NAV!C2513-1,"")</f>
        <v/>
      </c>
    </row>
    <row r="2514">
      <c r="A2514">
        <f>NAV!A2515</f>
        <v/>
      </c>
      <c r="B2514">
        <f>IFERROR(NAV!B2515/NAV!B2514-1,"")</f>
        <v/>
      </c>
      <c r="C2514">
        <f>IFERROR(NAV!C2515/NAV!C2514-1,"")</f>
        <v/>
      </c>
    </row>
    <row r="2515">
      <c r="A2515">
        <f>NAV!A2516</f>
        <v/>
      </c>
      <c r="B2515">
        <f>IFERROR(NAV!B2516/NAV!B2515-1,"")</f>
        <v/>
      </c>
      <c r="C2515">
        <f>IFERROR(NAV!C2516/NAV!C2515-1,"")</f>
        <v/>
      </c>
    </row>
    <row r="2516">
      <c r="A2516">
        <f>NAV!A2517</f>
        <v/>
      </c>
      <c r="B2516">
        <f>IFERROR(NAV!B2517/NAV!B2516-1,"")</f>
        <v/>
      </c>
      <c r="C2516">
        <f>IFERROR(NAV!C2517/NAV!C2516-1,"")</f>
        <v/>
      </c>
    </row>
    <row r="2517">
      <c r="A2517">
        <f>NAV!A2518</f>
        <v/>
      </c>
      <c r="B2517">
        <f>IFERROR(NAV!B2518/NAV!B2517-1,"")</f>
        <v/>
      </c>
      <c r="C2517">
        <f>IFERROR(NAV!C2518/NAV!C2517-1,"")</f>
        <v/>
      </c>
    </row>
    <row r="2518">
      <c r="A2518">
        <f>NAV!A2519</f>
        <v/>
      </c>
      <c r="B2518">
        <f>IFERROR(NAV!B2519/NAV!B2518-1,"")</f>
        <v/>
      </c>
      <c r="C2518">
        <f>IFERROR(NAV!C2519/NAV!C2518-1,"")</f>
        <v/>
      </c>
    </row>
    <row r="2519">
      <c r="A2519">
        <f>NAV!A2520</f>
        <v/>
      </c>
      <c r="B2519">
        <f>IFERROR(NAV!B2520/NAV!B2519-1,"")</f>
        <v/>
      </c>
      <c r="C2519">
        <f>IFERROR(NAV!C2520/NAV!C2519-1,"")</f>
        <v/>
      </c>
    </row>
    <row r="2520">
      <c r="A2520">
        <f>NAV!A2521</f>
        <v/>
      </c>
      <c r="B2520">
        <f>IFERROR(NAV!B2521/NAV!B2520-1,"")</f>
        <v/>
      </c>
      <c r="C2520">
        <f>IFERROR(NAV!C2521/NAV!C2520-1,"")</f>
        <v/>
      </c>
    </row>
    <row r="2521">
      <c r="A2521">
        <f>NAV!A2522</f>
        <v/>
      </c>
      <c r="B2521">
        <f>IFERROR(NAV!B2522/NAV!B2521-1,"")</f>
        <v/>
      </c>
      <c r="C2521">
        <f>IFERROR(NAV!C2522/NAV!C2521-1,"")</f>
        <v/>
      </c>
    </row>
    <row r="2522">
      <c r="A2522">
        <f>NAV!A2523</f>
        <v/>
      </c>
      <c r="B2522">
        <f>IFERROR(NAV!B2523/NAV!B2522-1,"")</f>
        <v/>
      </c>
      <c r="C2522">
        <f>IFERROR(NAV!C2523/NAV!C2522-1,"")</f>
        <v/>
      </c>
    </row>
    <row r="2523">
      <c r="A2523">
        <f>NAV!A2524</f>
        <v/>
      </c>
      <c r="B2523">
        <f>IFERROR(NAV!B2524/NAV!B2523-1,"")</f>
        <v/>
      </c>
      <c r="C2523">
        <f>IFERROR(NAV!C2524/NAV!C2523-1,"")</f>
        <v/>
      </c>
    </row>
    <row r="2524">
      <c r="A2524">
        <f>NAV!A2525</f>
        <v/>
      </c>
      <c r="B2524">
        <f>IFERROR(NAV!B2525/NAV!B2524-1,"")</f>
        <v/>
      </c>
      <c r="C2524">
        <f>IFERROR(NAV!C2525/NAV!C2524-1,"")</f>
        <v/>
      </c>
    </row>
    <row r="2525">
      <c r="A2525">
        <f>NAV!A2526</f>
        <v/>
      </c>
      <c r="B2525">
        <f>IFERROR(NAV!B2526/NAV!B2525-1,"")</f>
        <v/>
      </c>
      <c r="C2525">
        <f>IFERROR(NAV!C2526/NAV!C2525-1,"")</f>
        <v/>
      </c>
    </row>
    <row r="2526">
      <c r="A2526">
        <f>NAV!A2527</f>
        <v/>
      </c>
      <c r="B2526">
        <f>IFERROR(NAV!B2527/NAV!B2526-1,"")</f>
        <v/>
      </c>
      <c r="C2526">
        <f>IFERROR(NAV!C2527/NAV!C2526-1,"")</f>
        <v/>
      </c>
    </row>
    <row r="2527">
      <c r="A2527">
        <f>NAV!A2528</f>
        <v/>
      </c>
      <c r="B2527">
        <f>IFERROR(NAV!B2528/NAV!B2527-1,"")</f>
        <v/>
      </c>
      <c r="C2527">
        <f>IFERROR(NAV!C2528/NAV!C2527-1,"")</f>
        <v/>
      </c>
    </row>
    <row r="2528">
      <c r="A2528">
        <f>NAV!A2529</f>
        <v/>
      </c>
      <c r="B2528">
        <f>IFERROR(NAV!B2529/NAV!B2528-1,"")</f>
        <v/>
      </c>
      <c r="C2528">
        <f>IFERROR(NAV!C2529/NAV!C2528-1,"")</f>
        <v/>
      </c>
    </row>
    <row r="2529">
      <c r="A2529">
        <f>NAV!A2530</f>
        <v/>
      </c>
      <c r="B2529">
        <f>IFERROR(NAV!B2530/NAV!B2529-1,"")</f>
        <v/>
      </c>
      <c r="C2529">
        <f>IFERROR(NAV!C2530/NAV!C2529-1,"")</f>
        <v/>
      </c>
    </row>
    <row r="2530">
      <c r="A2530">
        <f>NAV!A2531</f>
        <v/>
      </c>
      <c r="B2530">
        <f>IFERROR(NAV!B2531/NAV!B2530-1,"")</f>
        <v/>
      </c>
      <c r="C2530">
        <f>IFERROR(NAV!C2531/NAV!C2530-1,"")</f>
        <v/>
      </c>
    </row>
    <row r="2531">
      <c r="A2531">
        <f>NAV!A2532</f>
        <v/>
      </c>
      <c r="B2531">
        <f>IFERROR(NAV!B2532/NAV!B2531-1,"")</f>
        <v/>
      </c>
      <c r="C2531">
        <f>IFERROR(NAV!C2532/NAV!C2531-1,"")</f>
        <v/>
      </c>
    </row>
    <row r="2532">
      <c r="A2532">
        <f>NAV!A2533</f>
        <v/>
      </c>
      <c r="B2532">
        <f>IFERROR(NAV!B2533/NAV!B2532-1,"")</f>
        <v/>
      </c>
      <c r="C2532">
        <f>IFERROR(NAV!C2533/NAV!C2532-1,"")</f>
        <v/>
      </c>
    </row>
    <row r="2533">
      <c r="A2533">
        <f>NAV!A2534</f>
        <v/>
      </c>
      <c r="B2533">
        <f>IFERROR(NAV!B2534/NAV!B2533-1,"")</f>
        <v/>
      </c>
      <c r="C2533">
        <f>IFERROR(NAV!C2534/NAV!C2533-1,"")</f>
        <v/>
      </c>
    </row>
    <row r="2534">
      <c r="A2534">
        <f>NAV!A2535</f>
        <v/>
      </c>
      <c r="B2534">
        <f>IFERROR(NAV!B2535/NAV!B2534-1,"")</f>
        <v/>
      </c>
      <c r="C2534">
        <f>IFERROR(NAV!C2535/NAV!C2534-1,"")</f>
        <v/>
      </c>
    </row>
    <row r="2535">
      <c r="A2535">
        <f>NAV!A2536</f>
        <v/>
      </c>
      <c r="B2535">
        <f>IFERROR(NAV!B2536/NAV!B2535-1,"")</f>
        <v/>
      </c>
      <c r="C2535">
        <f>IFERROR(NAV!C2536/NAV!C2535-1,"")</f>
        <v/>
      </c>
    </row>
    <row r="2536">
      <c r="A2536">
        <f>NAV!A2537</f>
        <v/>
      </c>
      <c r="B2536">
        <f>IFERROR(NAV!B2537/NAV!B2536-1,"")</f>
        <v/>
      </c>
      <c r="C2536">
        <f>IFERROR(NAV!C2537/NAV!C2536-1,"")</f>
        <v/>
      </c>
    </row>
    <row r="2537">
      <c r="A2537">
        <f>NAV!A2538</f>
        <v/>
      </c>
      <c r="B2537">
        <f>IFERROR(NAV!B2538/NAV!B2537-1,"")</f>
        <v/>
      </c>
      <c r="C2537">
        <f>IFERROR(NAV!C2538/NAV!C2537-1,"")</f>
        <v/>
      </c>
    </row>
    <row r="2538">
      <c r="A2538">
        <f>NAV!A2539</f>
        <v/>
      </c>
      <c r="B2538">
        <f>IFERROR(NAV!B2539/NAV!B2538-1,"")</f>
        <v/>
      </c>
      <c r="C2538">
        <f>IFERROR(NAV!C2539/NAV!C2538-1,"")</f>
        <v/>
      </c>
    </row>
    <row r="2539">
      <c r="A2539">
        <f>NAV!A2540</f>
        <v/>
      </c>
      <c r="B2539">
        <f>IFERROR(NAV!B2540/NAV!B2539-1,"")</f>
        <v/>
      </c>
      <c r="C2539">
        <f>IFERROR(NAV!C2540/NAV!C2539-1,"")</f>
        <v/>
      </c>
    </row>
    <row r="2540">
      <c r="A2540">
        <f>NAV!A2541</f>
        <v/>
      </c>
      <c r="B2540">
        <f>IFERROR(NAV!B2541/NAV!B2540-1,"")</f>
        <v/>
      </c>
      <c r="C2540">
        <f>IFERROR(NAV!C2541/NAV!C2540-1,"")</f>
        <v/>
      </c>
    </row>
    <row r="2541">
      <c r="A2541">
        <f>NAV!A2542</f>
        <v/>
      </c>
      <c r="B2541">
        <f>IFERROR(NAV!B2542/NAV!B2541-1,"")</f>
        <v/>
      </c>
      <c r="C2541">
        <f>IFERROR(NAV!C2542/NAV!C2541-1,"")</f>
        <v/>
      </c>
    </row>
    <row r="2542">
      <c r="A2542">
        <f>NAV!A2543</f>
        <v/>
      </c>
      <c r="B2542">
        <f>IFERROR(NAV!B2543/NAV!B2542-1,"")</f>
        <v/>
      </c>
      <c r="C2542">
        <f>IFERROR(NAV!C2543/NAV!C2542-1,"")</f>
        <v/>
      </c>
    </row>
    <row r="2543">
      <c r="A2543">
        <f>NAV!A2544</f>
        <v/>
      </c>
      <c r="B2543">
        <f>IFERROR(NAV!B2544/NAV!B2543-1,"")</f>
        <v/>
      </c>
      <c r="C2543">
        <f>IFERROR(NAV!C2544/NAV!C2543-1,"")</f>
        <v/>
      </c>
    </row>
    <row r="2544">
      <c r="A2544">
        <f>NAV!A2545</f>
        <v/>
      </c>
      <c r="B2544">
        <f>IFERROR(NAV!B2545/NAV!B2544-1,"")</f>
        <v/>
      </c>
      <c r="C2544">
        <f>IFERROR(NAV!C2545/NAV!C2544-1,"")</f>
        <v/>
      </c>
    </row>
    <row r="2545">
      <c r="A2545">
        <f>NAV!A2546</f>
        <v/>
      </c>
      <c r="B2545">
        <f>IFERROR(NAV!B2546/NAV!B2545-1,"")</f>
        <v/>
      </c>
      <c r="C2545">
        <f>IFERROR(NAV!C2546/NAV!C2545-1,"")</f>
        <v/>
      </c>
    </row>
    <row r="2546">
      <c r="A2546">
        <f>NAV!A2547</f>
        <v/>
      </c>
      <c r="B2546">
        <f>IFERROR(NAV!B2547/NAV!B2546-1,"")</f>
        <v/>
      </c>
      <c r="C2546">
        <f>IFERROR(NAV!C2547/NAV!C2546-1,"")</f>
        <v/>
      </c>
    </row>
    <row r="2547">
      <c r="A2547">
        <f>NAV!A2548</f>
        <v/>
      </c>
      <c r="B2547">
        <f>IFERROR(NAV!B2548/NAV!B2547-1,"")</f>
        <v/>
      </c>
      <c r="C2547">
        <f>IFERROR(NAV!C2548/NAV!C2547-1,"")</f>
        <v/>
      </c>
    </row>
    <row r="2548">
      <c r="A2548">
        <f>NAV!A2549</f>
        <v/>
      </c>
      <c r="B2548">
        <f>IFERROR(NAV!B2549/NAV!B2548-1,"")</f>
        <v/>
      </c>
      <c r="C2548">
        <f>IFERROR(NAV!C2549/NAV!C2548-1,"")</f>
        <v/>
      </c>
    </row>
    <row r="2549">
      <c r="A2549">
        <f>NAV!A2550</f>
        <v/>
      </c>
      <c r="B2549">
        <f>IFERROR(NAV!B2550/NAV!B2549-1,"")</f>
        <v/>
      </c>
      <c r="C2549">
        <f>IFERROR(NAV!C2550/NAV!C2549-1,"")</f>
        <v/>
      </c>
    </row>
    <row r="2550">
      <c r="A2550">
        <f>NAV!A2551</f>
        <v/>
      </c>
      <c r="B2550">
        <f>IFERROR(NAV!B2551/NAV!B2550-1,"")</f>
        <v/>
      </c>
      <c r="C2550">
        <f>IFERROR(NAV!C2551/NAV!C2550-1,"")</f>
        <v/>
      </c>
    </row>
    <row r="2551">
      <c r="A2551">
        <f>NAV!A2552</f>
        <v/>
      </c>
      <c r="B2551">
        <f>IFERROR(NAV!B2552/NAV!B2551-1,"")</f>
        <v/>
      </c>
      <c r="C2551">
        <f>IFERROR(NAV!C2552/NAV!C2551-1,"")</f>
        <v/>
      </c>
    </row>
    <row r="2552">
      <c r="A2552">
        <f>NAV!A2553</f>
        <v/>
      </c>
      <c r="B2552">
        <f>IFERROR(NAV!B2553/NAV!B2552-1,"")</f>
        <v/>
      </c>
      <c r="C2552">
        <f>IFERROR(NAV!C2553/NAV!C2552-1,"")</f>
        <v/>
      </c>
    </row>
    <row r="2553">
      <c r="A2553">
        <f>NAV!A2554</f>
        <v/>
      </c>
      <c r="B2553">
        <f>IFERROR(NAV!B2554/NAV!B2553-1,"")</f>
        <v/>
      </c>
      <c r="C2553">
        <f>IFERROR(NAV!C2554/NAV!C2553-1,"")</f>
        <v/>
      </c>
    </row>
    <row r="2554">
      <c r="A2554">
        <f>NAV!A2555</f>
        <v/>
      </c>
      <c r="B2554">
        <f>IFERROR(NAV!B2555/NAV!B2554-1,"")</f>
        <v/>
      </c>
      <c r="C2554">
        <f>IFERROR(NAV!C2555/NAV!C2554-1,"")</f>
        <v/>
      </c>
    </row>
    <row r="2555">
      <c r="A2555">
        <f>NAV!A2556</f>
        <v/>
      </c>
      <c r="B2555">
        <f>IFERROR(NAV!B2556/NAV!B2555-1,"")</f>
        <v/>
      </c>
      <c r="C2555">
        <f>IFERROR(NAV!C2556/NAV!C2555-1,"")</f>
        <v/>
      </c>
    </row>
    <row r="2556">
      <c r="A2556">
        <f>NAV!A2557</f>
        <v/>
      </c>
      <c r="B2556">
        <f>IFERROR(NAV!B2557/NAV!B2556-1,"")</f>
        <v/>
      </c>
      <c r="C2556">
        <f>IFERROR(NAV!C2557/NAV!C2556-1,"")</f>
        <v/>
      </c>
    </row>
    <row r="2557">
      <c r="A2557">
        <f>NAV!A2558</f>
        <v/>
      </c>
      <c r="B2557">
        <f>IFERROR(NAV!B2558/NAV!B2557-1,"")</f>
        <v/>
      </c>
      <c r="C2557">
        <f>IFERROR(NAV!C2558/NAV!C2557-1,"")</f>
        <v/>
      </c>
    </row>
    <row r="2558">
      <c r="A2558">
        <f>NAV!A2559</f>
        <v/>
      </c>
      <c r="B2558">
        <f>IFERROR(NAV!B2559/NAV!B2558-1,"")</f>
        <v/>
      </c>
      <c r="C2558">
        <f>IFERROR(NAV!C2559/NAV!C2558-1,"")</f>
        <v/>
      </c>
    </row>
    <row r="2559">
      <c r="A2559">
        <f>NAV!A2560</f>
        <v/>
      </c>
      <c r="B2559">
        <f>IFERROR(NAV!B2560/NAV!B2559-1,"")</f>
        <v/>
      </c>
      <c r="C2559">
        <f>IFERROR(NAV!C2560/NAV!C2559-1,"")</f>
        <v/>
      </c>
    </row>
    <row r="2560">
      <c r="A2560">
        <f>NAV!A2561</f>
        <v/>
      </c>
      <c r="B2560">
        <f>IFERROR(NAV!B2561/NAV!B2560-1,"")</f>
        <v/>
      </c>
      <c r="C2560">
        <f>IFERROR(NAV!C2561/NAV!C2560-1,"")</f>
        <v/>
      </c>
    </row>
    <row r="2561">
      <c r="A2561">
        <f>NAV!A2562</f>
        <v/>
      </c>
      <c r="B2561">
        <f>IFERROR(NAV!B2562/NAV!B2561-1,"")</f>
        <v/>
      </c>
      <c r="C2561">
        <f>IFERROR(NAV!C2562/NAV!C2561-1,"")</f>
        <v/>
      </c>
    </row>
    <row r="2562">
      <c r="A2562">
        <f>NAV!A2563</f>
        <v/>
      </c>
      <c r="B2562">
        <f>IFERROR(NAV!B2563/NAV!B2562-1,"")</f>
        <v/>
      </c>
      <c r="C2562">
        <f>IFERROR(NAV!C2563/NAV!C2562-1,"")</f>
        <v/>
      </c>
    </row>
    <row r="2563">
      <c r="A2563">
        <f>NAV!A2564</f>
        <v/>
      </c>
      <c r="B2563">
        <f>IFERROR(NAV!B2564/NAV!B2563-1,"")</f>
        <v/>
      </c>
      <c r="C2563">
        <f>IFERROR(NAV!C2564/NAV!C2563-1,"")</f>
        <v/>
      </c>
    </row>
    <row r="2564">
      <c r="A2564">
        <f>NAV!A2565</f>
        <v/>
      </c>
      <c r="B2564">
        <f>IFERROR(NAV!B2565/NAV!B2564-1,"")</f>
        <v/>
      </c>
      <c r="C2564">
        <f>IFERROR(NAV!C2565/NAV!C2564-1,"")</f>
        <v/>
      </c>
    </row>
    <row r="2565">
      <c r="A2565">
        <f>NAV!A2566</f>
        <v/>
      </c>
      <c r="B2565">
        <f>IFERROR(NAV!B2566/NAV!B2565-1,"")</f>
        <v/>
      </c>
      <c r="C2565">
        <f>IFERROR(NAV!C2566/NAV!C2565-1,"")</f>
        <v/>
      </c>
    </row>
    <row r="2566">
      <c r="A2566">
        <f>NAV!A2567</f>
        <v/>
      </c>
      <c r="B2566">
        <f>IFERROR(NAV!B2567/NAV!B2566-1,"")</f>
        <v/>
      </c>
      <c r="C2566">
        <f>IFERROR(NAV!C2567/NAV!C2566-1,"")</f>
        <v/>
      </c>
    </row>
    <row r="2567">
      <c r="A2567">
        <f>NAV!A2568</f>
        <v/>
      </c>
      <c r="B2567">
        <f>IFERROR(NAV!B2568/NAV!B2567-1,"")</f>
        <v/>
      </c>
      <c r="C2567">
        <f>IFERROR(NAV!C2568/NAV!C2567-1,"")</f>
        <v/>
      </c>
    </row>
    <row r="2568">
      <c r="A2568">
        <f>NAV!A2569</f>
        <v/>
      </c>
      <c r="B2568">
        <f>IFERROR(NAV!B2569/NAV!B2568-1,"")</f>
        <v/>
      </c>
      <c r="C2568">
        <f>IFERROR(NAV!C2569/NAV!C2568-1,"")</f>
        <v/>
      </c>
    </row>
    <row r="2569">
      <c r="A2569">
        <f>NAV!A2570</f>
        <v/>
      </c>
      <c r="B2569">
        <f>IFERROR(NAV!B2570/NAV!B2569-1,"")</f>
        <v/>
      </c>
      <c r="C2569">
        <f>IFERROR(NAV!C2570/NAV!C2569-1,"")</f>
        <v/>
      </c>
    </row>
    <row r="2570">
      <c r="A2570">
        <f>NAV!A2571</f>
        <v/>
      </c>
      <c r="B2570">
        <f>IFERROR(NAV!B2571/NAV!B2570-1,"")</f>
        <v/>
      </c>
      <c r="C2570">
        <f>IFERROR(NAV!C2571/NAV!C2570-1,"")</f>
        <v/>
      </c>
    </row>
    <row r="2571">
      <c r="A2571">
        <f>NAV!A2572</f>
        <v/>
      </c>
      <c r="B2571">
        <f>IFERROR(NAV!B2572/NAV!B2571-1,"")</f>
        <v/>
      </c>
      <c r="C2571">
        <f>IFERROR(NAV!C2572/NAV!C2571-1,"")</f>
        <v/>
      </c>
    </row>
    <row r="2572">
      <c r="A2572">
        <f>NAV!A2573</f>
        <v/>
      </c>
      <c r="B2572">
        <f>IFERROR(NAV!B2573/NAV!B2572-1,"")</f>
        <v/>
      </c>
      <c r="C2572">
        <f>IFERROR(NAV!C2573/NAV!C2572-1,"")</f>
        <v/>
      </c>
    </row>
    <row r="2573">
      <c r="A2573">
        <f>NAV!A2574</f>
        <v/>
      </c>
      <c r="B2573">
        <f>IFERROR(NAV!B2574/NAV!B2573-1,"")</f>
        <v/>
      </c>
      <c r="C2573">
        <f>IFERROR(NAV!C2574/NAV!C2573-1,"")</f>
        <v/>
      </c>
    </row>
    <row r="2574">
      <c r="A2574">
        <f>NAV!A2575</f>
        <v/>
      </c>
      <c r="B2574">
        <f>IFERROR(NAV!B2575/NAV!B2574-1,"")</f>
        <v/>
      </c>
      <c r="C2574">
        <f>IFERROR(NAV!C2575/NAV!C2574-1,"")</f>
        <v/>
      </c>
    </row>
    <row r="2575">
      <c r="A2575">
        <f>NAV!A2576</f>
        <v/>
      </c>
      <c r="B2575">
        <f>IFERROR(NAV!B2576/NAV!B2575-1,"")</f>
        <v/>
      </c>
      <c r="C2575">
        <f>IFERROR(NAV!C2576/NAV!C2575-1,"")</f>
        <v/>
      </c>
    </row>
    <row r="2576">
      <c r="A2576">
        <f>NAV!A2577</f>
        <v/>
      </c>
      <c r="B2576">
        <f>IFERROR(NAV!B2577/NAV!B2576-1,"")</f>
        <v/>
      </c>
      <c r="C2576">
        <f>IFERROR(NAV!C2577/NAV!C2576-1,"")</f>
        <v/>
      </c>
    </row>
    <row r="2577">
      <c r="A2577">
        <f>NAV!A2578</f>
        <v/>
      </c>
      <c r="B2577">
        <f>IFERROR(NAV!B2578/NAV!B2577-1,"")</f>
        <v/>
      </c>
      <c r="C2577">
        <f>IFERROR(NAV!C2578/NAV!C2577-1,"")</f>
        <v/>
      </c>
    </row>
    <row r="2578">
      <c r="A2578">
        <f>NAV!A2579</f>
        <v/>
      </c>
      <c r="B2578">
        <f>IFERROR(NAV!B2579/NAV!B2578-1,"")</f>
        <v/>
      </c>
      <c r="C2578">
        <f>IFERROR(NAV!C2579/NAV!C2578-1,"")</f>
        <v/>
      </c>
    </row>
    <row r="2579">
      <c r="A2579">
        <f>NAV!A2580</f>
        <v/>
      </c>
      <c r="B2579">
        <f>IFERROR(NAV!B2580/NAV!B2579-1,"")</f>
        <v/>
      </c>
      <c r="C2579">
        <f>IFERROR(NAV!C2580/NAV!C2579-1,"")</f>
        <v/>
      </c>
    </row>
    <row r="2580">
      <c r="A2580">
        <f>NAV!A2581</f>
        <v/>
      </c>
      <c r="B2580">
        <f>IFERROR(NAV!B2581/NAV!B2580-1,"")</f>
        <v/>
      </c>
      <c r="C2580">
        <f>IFERROR(NAV!C2581/NAV!C2580-1,"")</f>
        <v/>
      </c>
    </row>
    <row r="2581">
      <c r="A2581">
        <f>NAV!A2582</f>
        <v/>
      </c>
      <c r="B2581">
        <f>IFERROR(NAV!B2582/NAV!B2581-1,"")</f>
        <v/>
      </c>
      <c r="C2581">
        <f>IFERROR(NAV!C2582/NAV!C2581-1,"")</f>
        <v/>
      </c>
    </row>
    <row r="2582">
      <c r="A2582">
        <f>NAV!A2583</f>
        <v/>
      </c>
      <c r="B2582">
        <f>IFERROR(NAV!B2583/NAV!B2582-1,"")</f>
        <v/>
      </c>
      <c r="C2582">
        <f>IFERROR(NAV!C2583/NAV!C2582-1,"")</f>
        <v/>
      </c>
    </row>
    <row r="2583">
      <c r="A2583">
        <f>NAV!A2584</f>
        <v/>
      </c>
      <c r="B2583">
        <f>IFERROR(NAV!B2584/NAV!B2583-1,"")</f>
        <v/>
      </c>
      <c r="C2583">
        <f>IFERROR(NAV!C2584/NAV!C2583-1,"")</f>
        <v/>
      </c>
    </row>
    <row r="2584">
      <c r="A2584">
        <f>NAV!A2585</f>
        <v/>
      </c>
      <c r="B2584">
        <f>IFERROR(NAV!B2585/NAV!B2584-1,"")</f>
        <v/>
      </c>
      <c r="C2584">
        <f>IFERROR(NAV!C2585/NAV!C2584-1,"")</f>
        <v/>
      </c>
    </row>
    <row r="2585">
      <c r="A2585">
        <f>NAV!A2586</f>
        <v/>
      </c>
      <c r="B2585">
        <f>IFERROR(NAV!B2586/NAV!B2585-1,"")</f>
        <v/>
      </c>
      <c r="C2585">
        <f>IFERROR(NAV!C2586/NAV!C2585-1,"")</f>
        <v/>
      </c>
    </row>
    <row r="2586">
      <c r="A2586">
        <f>NAV!A2587</f>
        <v/>
      </c>
      <c r="B2586">
        <f>IFERROR(NAV!B2587/NAV!B2586-1,"")</f>
        <v/>
      </c>
      <c r="C2586">
        <f>IFERROR(NAV!C2587/NAV!C2586-1,"")</f>
        <v/>
      </c>
    </row>
    <row r="2587">
      <c r="A2587">
        <f>NAV!A2588</f>
        <v/>
      </c>
      <c r="B2587">
        <f>IFERROR(NAV!B2588/NAV!B2587-1,"")</f>
        <v/>
      </c>
      <c r="C2587">
        <f>IFERROR(NAV!C2588/NAV!C2587-1,"")</f>
        <v/>
      </c>
    </row>
    <row r="2588">
      <c r="A2588">
        <f>NAV!A2589</f>
        <v/>
      </c>
      <c r="B2588">
        <f>IFERROR(NAV!B2589/NAV!B2588-1,"")</f>
        <v/>
      </c>
      <c r="C2588">
        <f>IFERROR(NAV!C2589/NAV!C2588-1,"")</f>
        <v/>
      </c>
    </row>
    <row r="2589">
      <c r="A2589">
        <f>NAV!A2590</f>
        <v/>
      </c>
      <c r="B2589">
        <f>IFERROR(NAV!B2590/NAV!B2589-1,"")</f>
        <v/>
      </c>
      <c r="C2589">
        <f>IFERROR(NAV!C2590/NAV!C2589-1,"")</f>
        <v/>
      </c>
    </row>
    <row r="2590">
      <c r="A2590">
        <f>NAV!A2591</f>
        <v/>
      </c>
      <c r="B2590">
        <f>IFERROR(NAV!B2591/NAV!B2590-1,"")</f>
        <v/>
      </c>
      <c r="C2590">
        <f>IFERROR(NAV!C2591/NAV!C2590-1,"")</f>
        <v/>
      </c>
    </row>
    <row r="2591">
      <c r="A2591">
        <f>NAV!A2592</f>
        <v/>
      </c>
      <c r="B2591">
        <f>IFERROR(NAV!B2592/NAV!B2591-1,"")</f>
        <v/>
      </c>
      <c r="C2591">
        <f>IFERROR(NAV!C2592/NAV!C2591-1,"")</f>
        <v/>
      </c>
    </row>
    <row r="2592">
      <c r="A2592">
        <f>NAV!A2593</f>
        <v/>
      </c>
      <c r="B2592">
        <f>IFERROR(NAV!B2593/NAV!B2592-1,"")</f>
        <v/>
      </c>
      <c r="C2592">
        <f>IFERROR(NAV!C2593/NAV!C2592-1,"")</f>
        <v/>
      </c>
    </row>
    <row r="2593">
      <c r="A2593">
        <f>NAV!A2594</f>
        <v/>
      </c>
      <c r="B2593">
        <f>IFERROR(NAV!B2594/NAV!B2593-1,"")</f>
        <v/>
      </c>
      <c r="C2593">
        <f>IFERROR(NAV!C2594/NAV!C2593-1,"")</f>
        <v/>
      </c>
    </row>
    <row r="2594">
      <c r="A2594">
        <f>NAV!A2595</f>
        <v/>
      </c>
      <c r="B2594">
        <f>IFERROR(NAV!B2595/NAV!B2594-1,"")</f>
        <v/>
      </c>
      <c r="C2594">
        <f>IFERROR(NAV!C2595/NAV!C2594-1,"")</f>
        <v/>
      </c>
    </row>
    <row r="2595">
      <c r="A2595">
        <f>NAV!A2596</f>
        <v/>
      </c>
      <c r="B2595">
        <f>IFERROR(NAV!B2596/NAV!B2595-1,"")</f>
        <v/>
      </c>
      <c r="C2595">
        <f>IFERROR(NAV!C2596/NAV!C2595-1,"")</f>
        <v/>
      </c>
    </row>
    <row r="2596">
      <c r="A2596">
        <f>NAV!A2597</f>
        <v/>
      </c>
      <c r="B2596">
        <f>IFERROR(NAV!B2597/NAV!B2596-1,"")</f>
        <v/>
      </c>
      <c r="C2596">
        <f>IFERROR(NAV!C2597/NAV!C2596-1,"")</f>
        <v/>
      </c>
    </row>
    <row r="2597">
      <c r="A2597">
        <f>NAV!A2598</f>
        <v/>
      </c>
      <c r="B2597">
        <f>IFERROR(NAV!B2598/NAV!B2597-1,"")</f>
        <v/>
      </c>
      <c r="C2597">
        <f>IFERROR(NAV!C2598/NAV!C2597-1,"")</f>
        <v/>
      </c>
    </row>
    <row r="2598">
      <c r="A2598">
        <f>NAV!A2599</f>
        <v/>
      </c>
      <c r="B2598">
        <f>IFERROR(NAV!B2599/NAV!B2598-1,"")</f>
        <v/>
      </c>
      <c r="C2598">
        <f>IFERROR(NAV!C2599/NAV!C2598-1,"")</f>
        <v/>
      </c>
    </row>
    <row r="2599">
      <c r="A2599">
        <f>NAV!A2600</f>
        <v/>
      </c>
      <c r="B2599">
        <f>IFERROR(NAV!B2600/NAV!B2599-1,"")</f>
        <v/>
      </c>
      <c r="C2599">
        <f>IFERROR(NAV!C2600/NAV!C2599-1,"")</f>
        <v/>
      </c>
    </row>
    <row r="2600">
      <c r="A2600">
        <f>NAV!A2601</f>
        <v/>
      </c>
      <c r="B2600">
        <f>IFERROR(NAV!B2601/NAV!B2600-1,"")</f>
        <v/>
      </c>
      <c r="C2600">
        <f>IFERROR(NAV!C2601/NAV!C2600-1,"")</f>
        <v/>
      </c>
    </row>
    <row r="2601">
      <c r="A2601">
        <f>NAV!A2602</f>
        <v/>
      </c>
      <c r="B2601">
        <f>IFERROR(NAV!B2602/NAV!B2601-1,"")</f>
        <v/>
      </c>
      <c r="C2601">
        <f>IFERROR(NAV!C2602/NAV!C2601-1,"")</f>
        <v/>
      </c>
    </row>
    <row r="2602">
      <c r="A2602">
        <f>NAV!A2603</f>
        <v/>
      </c>
      <c r="B2602">
        <f>IFERROR(NAV!B2603/NAV!B2602-1,"")</f>
        <v/>
      </c>
      <c r="C2602">
        <f>IFERROR(NAV!C2603/NAV!C2602-1,"")</f>
        <v/>
      </c>
    </row>
    <row r="2603">
      <c r="A2603">
        <f>NAV!A2604</f>
        <v/>
      </c>
      <c r="B2603">
        <f>IFERROR(NAV!B2604/NAV!B2603-1,"")</f>
        <v/>
      </c>
      <c r="C2603">
        <f>IFERROR(NAV!C2604/NAV!C2603-1,"")</f>
        <v/>
      </c>
    </row>
    <row r="2604">
      <c r="A2604">
        <f>NAV!A2605</f>
        <v/>
      </c>
      <c r="B2604">
        <f>IFERROR(NAV!B2605/NAV!B2604-1,"")</f>
        <v/>
      </c>
      <c r="C2604">
        <f>IFERROR(NAV!C2605/NAV!C2604-1,"")</f>
        <v/>
      </c>
    </row>
    <row r="2605">
      <c r="A2605">
        <f>NAV!A2606</f>
        <v/>
      </c>
      <c r="B2605">
        <f>IFERROR(NAV!B2606/NAV!B2605-1,"")</f>
        <v/>
      </c>
      <c r="C2605">
        <f>IFERROR(NAV!C2606/NAV!C2605-1,"")</f>
        <v/>
      </c>
    </row>
    <row r="2606">
      <c r="A2606">
        <f>NAV!A2607</f>
        <v/>
      </c>
      <c r="B2606">
        <f>IFERROR(NAV!B2607/NAV!B2606-1,"")</f>
        <v/>
      </c>
      <c r="C2606">
        <f>IFERROR(NAV!C2607/NAV!C2606-1,"")</f>
        <v/>
      </c>
    </row>
    <row r="2607">
      <c r="A2607">
        <f>NAV!A2608</f>
        <v/>
      </c>
      <c r="B2607">
        <f>IFERROR(NAV!B2608/NAV!B2607-1,"")</f>
        <v/>
      </c>
      <c r="C2607">
        <f>IFERROR(NAV!C2608/NAV!C2607-1,"")</f>
        <v/>
      </c>
    </row>
    <row r="2608">
      <c r="A2608">
        <f>NAV!A2609</f>
        <v/>
      </c>
      <c r="B2608">
        <f>IFERROR(NAV!B2609/NAV!B2608-1,"")</f>
        <v/>
      </c>
      <c r="C2608">
        <f>IFERROR(NAV!C2609/NAV!C2608-1,"")</f>
        <v/>
      </c>
    </row>
    <row r="2609">
      <c r="A2609">
        <f>NAV!A2610</f>
        <v/>
      </c>
      <c r="B2609">
        <f>IFERROR(NAV!B2610/NAV!B2609-1,"")</f>
        <v/>
      </c>
      <c r="C2609">
        <f>IFERROR(NAV!C2610/NAV!C2609-1,"")</f>
        <v/>
      </c>
    </row>
    <row r="2610">
      <c r="A2610">
        <f>NAV!A2611</f>
        <v/>
      </c>
      <c r="B2610">
        <f>IFERROR(NAV!B2611/NAV!B2610-1,"")</f>
        <v/>
      </c>
      <c r="C2610">
        <f>IFERROR(NAV!C2611/NAV!C2610-1,"")</f>
        <v/>
      </c>
    </row>
    <row r="2611">
      <c r="A2611">
        <f>NAV!A2612</f>
        <v/>
      </c>
      <c r="B2611">
        <f>IFERROR(NAV!B2612/NAV!B2611-1,"")</f>
        <v/>
      </c>
      <c r="C2611">
        <f>IFERROR(NAV!C2612/NAV!C2611-1,"")</f>
        <v/>
      </c>
    </row>
    <row r="2612">
      <c r="A2612">
        <f>NAV!A2613</f>
        <v/>
      </c>
      <c r="B2612">
        <f>IFERROR(NAV!B2613/NAV!B2612-1,"")</f>
        <v/>
      </c>
      <c r="C2612">
        <f>IFERROR(NAV!C2613/NAV!C2612-1,"")</f>
        <v/>
      </c>
    </row>
    <row r="2613">
      <c r="A2613">
        <f>NAV!A2614</f>
        <v/>
      </c>
      <c r="B2613">
        <f>IFERROR(NAV!B2614/NAV!B2613-1,"")</f>
        <v/>
      </c>
      <c r="C2613">
        <f>IFERROR(NAV!C2614/NAV!C2613-1,"")</f>
        <v/>
      </c>
    </row>
    <row r="2614">
      <c r="A2614">
        <f>NAV!A2615</f>
        <v/>
      </c>
      <c r="B2614">
        <f>IFERROR(NAV!B2615/NAV!B2614-1,"")</f>
        <v/>
      </c>
      <c r="C2614">
        <f>IFERROR(NAV!C2615/NAV!C2614-1,"")</f>
        <v/>
      </c>
    </row>
    <row r="2615">
      <c r="A2615">
        <f>NAV!A2616</f>
        <v/>
      </c>
      <c r="B2615">
        <f>IFERROR(NAV!B2616/NAV!B2615-1,"")</f>
        <v/>
      </c>
      <c r="C2615">
        <f>IFERROR(NAV!C2616/NAV!C2615-1,"")</f>
        <v/>
      </c>
    </row>
    <row r="2616">
      <c r="A2616">
        <f>NAV!A2617</f>
        <v/>
      </c>
      <c r="B2616">
        <f>IFERROR(NAV!B2617/NAV!B2616-1,"")</f>
        <v/>
      </c>
      <c r="C2616">
        <f>IFERROR(NAV!C2617/NAV!C2616-1,"")</f>
        <v/>
      </c>
    </row>
    <row r="2617">
      <c r="A2617">
        <f>NAV!A2618</f>
        <v/>
      </c>
      <c r="B2617">
        <f>IFERROR(NAV!B2618/NAV!B2617-1,"")</f>
        <v/>
      </c>
      <c r="C2617">
        <f>IFERROR(NAV!C2618/NAV!C2617-1,"")</f>
        <v/>
      </c>
    </row>
    <row r="2618">
      <c r="A2618">
        <f>NAV!A2619</f>
        <v/>
      </c>
      <c r="B2618">
        <f>IFERROR(NAV!B2619/NAV!B2618-1,"")</f>
        <v/>
      </c>
      <c r="C2618">
        <f>IFERROR(NAV!C2619/NAV!C2618-1,"")</f>
        <v/>
      </c>
    </row>
    <row r="2619">
      <c r="A2619">
        <f>NAV!A2620</f>
        <v/>
      </c>
      <c r="B2619">
        <f>IFERROR(NAV!B2620/NAV!B2619-1,"")</f>
        <v/>
      </c>
      <c r="C2619">
        <f>IFERROR(NAV!C2620/NAV!C2619-1,"")</f>
        <v/>
      </c>
    </row>
    <row r="2620">
      <c r="A2620">
        <f>NAV!A2621</f>
        <v/>
      </c>
      <c r="B2620">
        <f>IFERROR(NAV!B2621/NAV!B2620-1,"")</f>
        <v/>
      </c>
      <c r="C2620">
        <f>IFERROR(NAV!C2621/NAV!C2620-1,"")</f>
        <v/>
      </c>
    </row>
    <row r="2621">
      <c r="A2621">
        <f>NAV!A2622</f>
        <v/>
      </c>
      <c r="B2621">
        <f>IFERROR(NAV!B2622/NAV!B2621-1,"")</f>
        <v/>
      </c>
      <c r="C2621">
        <f>IFERROR(NAV!C2622/NAV!C2621-1,"")</f>
        <v/>
      </c>
    </row>
    <row r="2622">
      <c r="A2622">
        <f>NAV!A2623</f>
        <v/>
      </c>
      <c r="B2622">
        <f>IFERROR(NAV!B2623/NAV!B2622-1,"")</f>
        <v/>
      </c>
      <c r="C2622">
        <f>IFERROR(NAV!C2623/NAV!C2622-1,"")</f>
        <v/>
      </c>
    </row>
    <row r="2623">
      <c r="A2623">
        <f>NAV!A2624</f>
        <v/>
      </c>
      <c r="B2623">
        <f>IFERROR(NAV!B2624/NAV!B2623-1,"")</f>
        <v/>
      </c>
      <c r="C2623">
        <f>IFERROR(NAV!C2624/NAV!C2623-1,"")</f>
        <v/>
      </c>
    </row>
    <row r="2624">
      <c r="A2624">
        <f>NAV!A2625</f>
        <v/>
      </c>
      <c r="B2624">
        <f>IFERROR(NAV!B2625/NAV!B2624-1,"")</f>
        <v/>
      </c>
      <c r="C2624">
        <f>IFERROR(NAV!C2625/NAV!C2624-1,"")</f>
        <v/>
      </c>
    </row>
    <row r="2625">
      <c r="A2625">
        <f>NAV!A2626</f>
        <v/>
      </c>
      <c r="B2625">
        <f>IFERROR(NAV!B2626/NAV!B2625-1,"")</f>
        <v/>
      </c>
      <c r="C2625">
        <f>IFERROR(NAV!C2626/NAV!C2625-1,"")</f>
        <v/>
      </c>
    </row>
    <row r="2626">
      <c r="A2626">
        <f>NAV!A2627</f>
        <v/>
      </c>
      <c r="B2626">
        <f>IFERROR(NAV!B2627/NAV!B2626-1,"")</f>
        <v/>
      </c>
      <c r="C2626">
        <f>IFERROR(NAV!C2627/NAV!C2626-1,"")</f>
        <v/>
      </c>
    </row>
    <row r="2627">
      <c r="A2627">
        <f>NAV!A2628</f>
        <v/>
      </c>
      <c r="B2627">
        <f>IFERROR(NAV!B2628/NAV!B2627-1,"")</f>
        <v/>
      </c>
      <c r="C2627">
        <f>IFERROR(NAV!C2628/NAV!C2627-1,"")</f>
        <v/>
      </c>
    </row>
    <row r="2628">
      <c r="A2628">
        <f>NAV!A2629</f>
        <v/>
      </c>
      <c r="B2628">
        <f>IFERROR(NAV!B2629/NAV!B2628-1,"")</f>
        <v/>
      </c>
      <c r="C2628">
        <f>IFERROR(NAV!C2629/NAV!C2628-1,"")</f>
        <v/>
      </c>
    </row>
    <row r="2629">
      <c r="A2629">
        <f>NAV!A2630</f>
        <v/>
      </c>
      <c r="B2629">
        <f>IFERROR(NAV!B2630/NAV!B2629-1,"")</f>
        <v/>
      </c>
      <c r="C2629">
        <f>IFERROR(NAV!C2630/NAV!C2629-1,"")</f>
        <v/>
      </c>
    </row>
    <row r="2630">
      <c r="A2630">
        <f>NAV!A2631</f>
        <v/>
      </c>
      <c r="B2630">
        <f>IFERROR(NAV!B2631/NAV!B2630-1,"")</f>
        <v/>
      </c>
      <c r="C2630">
        <f>IFERROR(NAV!C2631/NAV!C2630-1,"")</f>
        <v/>
      </c>
    </row>
    <row r="2631">
      <c r="A2631">
        <f>NAV!A2632</f>
        <v/>
      </c>
      <c r="B2631">
        <f>IFERROR(NAV!B2632/NAV!B2631-1,"")</f>
        <v/>
      </c>
      <c r="C2631">
        <f>IFERROR(NAV!C2632/NAV!C2631-1,"")</f>
        <v/>
      </c>
    </row>
    <row r="2632">
      <c r="A2632">
        <f>NAV!A2633</f>
        <v/>
      </c>
      <c r="B2632">
        <f>IFERROR(NAV!B2633/NAV!B2632-1,"")</f>
        <v/>
      </c>
      <c r="C2632">
        <f>IFERROR(NAV!C2633/NAV!C2632-1,"")</f>
        <v/>
      </c>
    </row>
    <row r="2633">
      <c r="A2633">
        <f>NAV!A2634</f>
        <v/>
      </c>
      <c r="B2633">
        <f>IFERROR(NAV!B2634/NAV!B2633-1,"")</f>
        <v/>
      </c>
      <c r="C2633">
        <f>IFERROR(NAV!C2634/NAV!C2633-1,"")</f>
        <v/>
      </c>
    </row>
    <row r="2634">
      <c r="A2634">
        <f>NAV!A2635</f>
        <v/>
      </c>
      <c r="B2634">
        <f>IFERROR(NAV!B2635/NAV!B2634-1,"")</f>
        <v/>
      </c>
      <c r="C2634">
        <f>IFERROR(NAV!C2635/NAV!C2634-1,"")</f>
        <v/>
      </c>
    </row>
    <row r="2635">
      <c r="A2635">
        <f>NAV!A2636</f>
        <v/>
      </c>
      <c r="B2635">
        <f>IFERROR(NAV!B2636/NAV!B2635-1,"")</f>
        <v/>
      </c>
      <c r="C2635">
        <f>IFERROR(NAV!C2636/NAV!C2635-1,"")</f>
        <v/>
      </c>
    </row>
    <row r="2636">
      <c r="A2636">
        <f>NAV!A2637</f>
        <v/>
      </c>
      <c r="B2636">
        <f>IFERROR(NAV!B2637/NAV!B2636-1,"")</f>
        <v/>
      </c>
      <c r="C2636">
        <f>IFERROR(NAV!C2637/NAV!C2636-1,"")</f>
        <v/>
      </c>
    </row>
    <row r="2637">
      <c r="A2637">
        <f>NAV!A2638</f>
        <v/>
      </c>
      <c r="B2637">
        <f>IFERROR(NAV!B2638/NAV!B2637-1,"")</f>
        <v/>
      </c>
      <c r="C2637">
        <f>IFERROR(NAV!C2638/NAV!C2637-1,"")</f>
        <v/>
      </c>
    </row>
    <row r="2638">
      <c r="A2638">
        <f>NAV!A2639</f>
        <v/>
      </c>
      <c r="B2638">
        <f>IFERROR(NAV!B2639/NAV!B2638-1,"")</f>
        <v/>
      </c>
      <c r="C2638">
        <f>IFERROR(NAV!C2639/NAV!C2638-1,"")</f>
        <v/>
      </c>
    </row>
    <row r="2639">
      <c r="A2639">
        <f>NAV!A2640</f>
        <v/>
      </c>
      <c r="B2639">
        <f>IFERROR(NAV!B2640/NAV!B2639-1,"")</f>
        <v/>
      </c>
      <c r="C2639">
        <f>IFERROR(NAV!C2640/NAV!C2639-1,"")</f>
        <v/>
      </c>
    </row>
    <row r="2640">
      <c r="A2640">
        <f>NAV!A2641</f>
        <v/>
      </c>
      <c r="B2640">
        <f>IFERROR(NAV!B2641/NAV!B2640-1,"")</f>
        <v/>
      </c>
      <c r="C2640">
        <f>IFERROR(NAV!C2641/NAV!C2640-1,"")</f>
        <v/>
      </c>
    </row>
    <row r="2641">
      <c r="A2641">
        <f>NAV!A2642</f>
        <v/>
      </c>
      <c r="B2641">
        <f>IFERROR(NAV!B2642/NAV!B2641-1,"")</f>
        <v/>
      </c>
      <c r="C2641">
        <f>IFERROR(NAV!C2642/NAV!C2641-1,"")</f>
        <v/>
      </c>
    </row>
    <row r="2642">
      <c r="A2642">
        <f>NAV!A2643</f>
        <v/>
      </c>
      <c r="B2642">
        <f>IFERROR(NAV!B2643/NAV!B2642-1,"")</f>
        <v/>
      </c>
      <c r="C2642">
        <f>IFERROR(NAV!C2643/NAV!C2642-1,"")</f>
        <v/>
      </c>
    </row>
    <row r="2643">
      <c r="A2643">
        <f>NAV!A2644</f>
        <v/>
      </c>
      <c r="B2643">
        <f>IFERROR(NAV!B2644/NAV!B2643-1,"")</f>
        <v/>
      </c>
      <c r="C2643">
        <f>IFERROR(NAV!C2644/NAV!C2643-1,"")</f>
        <v/>
      </c>
    </row>
    <row r="2644">
      <c r="A2644">
        <f>NAV!A2645</f>
        <v/>
      </c>
      <c r="B2644">
        <f>IFERROR(NAV!B2645/NAV!B2644-1,"")</f>
        <v/>
      </c>
      <c r="C2644">
        <f>IFERROR(NAV!C2645/NAV!C2644-1,"")</f>
        <v/>
      </c>
    </row>
    <row r="2645">
      <c r="A2645">
        <f>NAV!A2646</f>
        <v/>
      </c>
      <c r="B2645">
        <f>IFERROR(NAV!B2646/NAV!B2645-1,"")</f>
        <v/>
      </c>
      <c r="C2645">
        <f>IFERROR(NAV!C2646/NAV!C2645-1,"")</f>
        <v/>
      </c>
    </row>
    <row r="2646">
      <c r="A2646">
        <f>NAV!A2647</f>
        <v/>
      </c>
      <c r="B2646">
        <f>IFERROR(NAV!B2647/NAV!B2646-1,"")</f>
        <v/>
      </c>
      <c r="C2646">
        <f>IFERROR(NAV!C2647/NAV!C2646-1,"")</f>
        <v/>
      </c>
    </row>
    <row r="2647">
      <c r="A2647">
        <f>NAV!A2648</f>
        <v/>
      </c>
      <c r="B2647">
        <f>IFERROR(NAV!B2648/NAV!B2647-1,"")</f>
        <v/>
      </c>
      <c r="C2647">
        <f>IFERROR(NAV!C2648/NAV!C2647-1,"")</f>
        <v/>
      </c>
    </row>
    <row r="2648">
      <c r="A2648">
        <f>NAV!A2649</f>
        <v/>
      </c>
      <c r="B2648">
        <f>IFERROR(NAV!B2649/NAV!B2648-1,"")</f>
        <v/>
      </c>
      <c r="C2648">
        <f>IFERROR(NAV!C2649/NAV!C2648-1,"")</f>
        <v/>
      </c>
    </row>
    <row r="2649">
      <c r="A2649">
        <f>NAV!A2650</f>
        <v/>
      </c>
      <c r="B2649">
        <f>IFERROR(NAV!B2650/NAV!B2649-1,"")</f>
        <v/>
      </c>
      <c r="C2649">
        <f>IFERROR(NAV!C2650/NAV!C2649-1,"")</f>
        <v/>
      </c>
    </row>
    <row r="2650">
      <c r="A2650">
        <f>NAV!A2651</f>
        <v/>
      </c>
      <c r="B2650">
        <f>IFERROR(NAV!B2651/NAV!B2650-1,"")</f>
        <v/>
      </c>
      <c r="C2650">
        <f>IFERROR(NAV!C2651/NAV!C2650-1,"")</f>
        <v/>
      </c>
    </row>
    <row r="2651">
      <c r="A2651">
        <f>NAV!A2652</f>
        <v/>
      </c>
      <c r="B2651">
        <f>IFERROR(NAV!B2652/NAV!B2651-1,"")</f>
        <v/>
      </c>
      <c r="C2651">
        <f>IFERROR(NAV!C2652/NAV!C2651-1,"")</f>
        <v/>
      </c>
    </row>
    <row r="2652">
      <c r="A2652">
        <f>NAV!A2653</f>
        <v/>
      </c>
      <c r="B2652">
        <f>IFERROR(NAV!B2653/NAV!B2652-1,"")</f>
        <v/>
      </c>
      <c r="C2652">
        <f>IFERROR(NAV!C2653/NAV!C2652-1,"")</f>
        <v/>
      </c>
    </row>
    <row r="2653">
      <c r="A2653">
        <f>NAV!A2654</f>
        <v/>
      </c>
      <c r="B2653">
        <f>IFERROR(NAV!B2654/NAV!B2653-1,"")</f>
        <v/>
      </c>
      <c r="C2653">
        <f>IFERROR(NAV!C2654/NAV!C2653-1,"")</f>
        <v/>
      </c>
    </row>
    <row r="2654">
      <c r="A2654">
        <f>NAV!A2655</f>
        <v/>
      </c>
      <c r="B2654">
        <f>IFERROR(NAV!B2655/NAV!B2654-1,"")</f>
        <v/>
      </c>
      <c r="C2654">
        <f>IFERROR(NAV!C2655/NAV!C2654-1,"")</f>
        <v/>
      </c>
    </row>
    <row r="2655">
      <c r="A2655">
        <f>NAV!A2656</f>
        <v/>
      </c>
      <c r="B2655">
        <f>IFERROR(NAV!B2656/NAV!B2655-1,"")</f>
        <v/>
      </c>
      <c r="C2655">
        <f>IFERROR(NAV!C2656/NAV!C2655-1,"")</f>
        <v/>
      </c>
    </row>
    <row r="2656">
      <c r="A2656">
        <f>NAV!A2657</f>
        <v/>
      </c>
      <c r="B2656">
        <f>IFERROR(NAV!B2657/NAV!B2656-1,"")</f>
        <v/>
      </c>
      <c r="C2656">
        <f>IFERROR(NAV!C2657/NAV!C2656-1,"")</f>
        <v/>
      </c>
    </row>
    <row r="2657">
      <c r="A2657">
        <f>NAV!A2658</f>
        <v/>
      </c>
      <c r="B2657">
        <f>IFERROR(NAV!B2658/NAV!B2657-1,"")</f>
        <v/>
      </c>
      <c r="C2657">
        <f>IFERROR(NAV!C2658/NAV!C2657-1,"")</f>
        <v/>
      </c>
    </row>
    <row r="2658">
      <c r="A2658">
        <f>NAV!A2659</f>
        <v/>
      </c>
      <c r="B2658">
        <f>IFERROR(NAV!B2659/NAV!B2658-1,"")</f>
        <v/>
      </c>
      <c r="C2658">
        <f>IFERROR(NAV!C2659/NAV!C2658-1,"")</f>
        <v/>
      </c>
    </row>
    <row r="2659">
      <c r="A2659">
        <f>NAV!A2660</f>
        <v/>
      </c>
      <c r="B2659">
        <f>IFERROR(NAV!B2660/NAV!B2659-1,"")</f>
        <v/>
      </c>
      <c r="C2659">
        <f>IFERROR(NAV!C2660/NAV!C2659-1,"")</f>
        <v/>
      </c>
    </row>
    <row r="2660">
      <c r="A2660">
        <f>NAV!A2661</f>
        <v/>
      </c>
      <c r="B2660">
        <f>IFERROR(NAV!B2661/NAV!B2660-1,"")</f>
        <v/>
      </c>
      <c r="C2660">
        <f>IFERROR(NAV!C2661/NAV!C2660-1,"")</f>
        <v/>
      </c>
    </row>
    <row r="2661">
      <c r="A2661">
        <f>NAV!A2662</f>
        <v/>
      </c>
      <c r="B2661">
        <f>IFERROR(NAV!B2662/NAV!B2661-1,"")</f>
        <v/>
      </c>
      <c r="C2661">
        <f>IFERROR(NAV!C2662/NAV!C2661-1,"")</f>
        <v/>
      </c>
    </row>
    <row r="2662">
      <c r="A2662">
        <f>NAV!A2663</f>
        <v/>
      </c>
      <c r="B2662">
        <f>IFERROR(NAV!B2663/NAV!B2662-1,"")</f>
        <v/>
      </c>
      <c r="C2662">
        <f>IFERROR(NAV!C2663/NAV!C2662-1,"")</f>
        <v/>
      </c>
    </row>
    <row r="2663">
      <c r="A2663">
        <f>NAV!A2664</f>
        <v/>
      </c>
      <c r="B2663">
        <f>IFERROR(NAV!B2664/NAV!B2663-1,"")</f>
        <v/>
      </c>
      <c r="C2663">
        <f>IFERROR(NAV!C2664/NAV!C2663-1,"")</f>
        <v/>
      </c>
    </row>
    <row r="2664">
      <c r="A2664">
        <f>NAV!A2665</f>
        <v/>
      </c>
      <c r="B2664">
        <f>IFERROR(NAV!B2665/NAV!B2664-1,"")</f>
        <v/>
      </c>
      <c r="C2664">
        <f>IFERROR(NAV!C2665/NAV!C2664-1,"")</f>
        <v/>
      </c>
    </row>
    <row r="2665">
      <c r="A2665">
        <f>NAV!A2666</f>
        <v/>
      </c>
      <c r="B2665">
        <f>IFERROR(NAV!B2666/NAV!B2665-1,"")</f>
        <v/>
      </c>
      <c r="C2665">
        <f>IFERROR(NAV!C2666/NAV!C2665-1,"")</f>
        <v/>
      </c>
    </row>
    <row r="2666">
      <c r="A2666">
        <f>NAV!A2667</f>
        <v/>
      </c>
      <c r="B2666">
        <f>IFERROR(NAV!B2667/NAV!B2666-1,"")</f>
        <v/>
      </c>
      <c r="C2666">
        <f>IFERROR(NAV!C2667/NAV!C2666-1,"")</f>
        <v/>
      </c>
    </row>
    <row r="2667">
      <c r="A2667">
        <f>NAV!A2668</f>
        <v/>
      </c>
      <c r="B2667">
        <f>IFERROR(NAV!B2668/NAV!B2667-1,"")</f>
        <v/>
      </c>
      <c r="C2667">
        <f>IFERROR(NAV!C2668/NAV!C2667-1,"")</f>
        <v/>
      </c>
    </row>
    <row r="2668">
      <c r="A2668">
        <f>NAV!A2669</f>
        <v/>
      </c>
      <c r="B2668">
        <f>IFERROR(NAV!B2669/NAV!B2668-1,"")</f>
        <v/>
      </c>
      <c r="C2668">
        <f>IFERROR(NAV!C2669/NAV!C2668-1,"")</f>
        <v/>
      </c>
    </row>
    <row r="2669">
      <c r="A2669">
        <f>NAV!A2670</f>
        <v/>
      </c>
      <c r="B2669">
        <f>IFERROR(NAV!B2670/NAV!B2669-1,"")</f>
        <v/>
      </c>
      <c r="C2669">
        <f>IFERROR(NAV!C2670/NAV!C2669-1,"")</f>
        <v/>
      </c>
    </row>
    <row r="2670">
      <c r="A2670">
        <f>NAV!A2671</f>
        <v/>
      </c>
      <c r="B2670">
        <f>IFERROR(NAV!B2671/NAV!B2670-1,"")</f>
        <v/>
      </c>
      <c r="C2670">
        <f>IFERROR(NAV!C2671/NAV!C2670-1,"")</f>
        <v/>
      </c>
    </row>
    <row r="2671">
      <c r="A2671">
        <f>NAV!A2672</f>
        <v/>
      </c>
      <c r="B2671">
        <f>IFERROR(NAV!B2672/NAV!B2671-1,"")</f>
        <v/>
      </c>
      <c r="C2671">
        <f>IFERROR(NAV!C2672/NAV!C2671-1,"")</f>
        <v/>
      </c>
    </row>
    <row r="2672">
      <c r="A2672">
        <f>NAV!A2673</f>
        <v/>
      </c>
      <c r="B2672">
        <f>IFERROR(NAV!B2673/NAV!B2672-1,"")</f>
        <v/>
      </c>
      <c r="C2672">
        <f>IFERROR(NAV!C2673/NAV!C2672-1,"")</f>
        <v/>
      </c>
    </row>
    <row r="2673">
      <c r="A2673">
        <f>NAV!A2674</f>
        <v/>
      </c>
      <c r="B2673">
        <f>IFERROR(NAV!B2674/NAV!B2673-1,"")</f>
        <v/>
      </c>
      <c r="C2673">
        <f>IFERROR(NAV!C2674/NAV!C2673-1,"")</f>
        <v/>
      </c>
    </row>
    <row r="2674">
      <c r="A2674">
        <f>NAV!A2675</f>
        <v/>
      </c>
      <c r="B2674">
        <f>IFERROR(NAV!B2675/NAV!B2674-1,"")</f>
        <v/>
      </c>
      <c r="C2674">
        <f>IFERROR(NAV!C2675/NAV!C2674-1,"")</f>
        <v/>
      </c>
    </row>
    <row r="2675">
      <c r="A2675">
        <f>NAV!A2676</f>
        <v/>
      </c>
      <c r="B2675">
        <f>IFERROR(NAV!B2676/NAV!B2675-1,"")</f>
        <v/>
      </c>
      <c r="C2675">
        <f>IFERROR(NAV!C2676/NAV!C2675-1,"")</f>
        <v/>
      </c>
    </row>
    <row r="2676">
      <c r="A2676">
        <f>NAV!A2677</f>
        <v/>
      </c>
      <c r="B2676">
        <f>IFERROR(NAV!B2677/NAV!B2676-1,"")</f>
        <v/>
      </c>
      <c r="C2676">
        <f>IFERROR(NAV!C2677/NAV!C2676-1,"")</f>
        <v/>
      </c>
    </row>
    <row r="2677">
      <c r="A2677">
        <f>NAV!A2678</f>
        <v/>
      </c>
      <c r="B2677">
        <f>IFERROR(NAV!B2678/NAV!B2677-1,"")</f>
        <v/>
      </c>
      <c r="C2677">
        <f>IFERROR(NAV!C2678/NAV!C2677-1,"")</f>
        <v/>
      </c>
    </row>
    <row r="2678">
      <c r="A2678">
        <f>NAV!A2679</f>
        <v/>
      </c>
      <c r="B2678">
        <f>IFERROR(NAV!B2679/NAV!B2678-1,"")</f>
        <v/>
      </c>
      <c r="C2678">
        <f>IFERROR(NAV!C2679/NAV!C2678-1,"")</f>
        <v/>
      </c>
    </row>
    <row r="2679">
      <c r="A2679">
        <f>NAV!A2680</f>
        <v/>
      </c>
      <c r="B2679">
        <f>IFERROR(NAV!B2680/NAV!B2679-1,"")</f>
        <v/>
      </c>
      <c r="C2679">
        <f>IFERROR(NAV!C2680/NAV!C2679-1,"")</f>
        <v/>
      </c>
    </row>
    <row r="2680">
      <c r="A2680">
        <f>NAV!A2681</f>
        <v/>
      </c>
      <c r="B2680">
        <f>IFERROR(NAV!B2681/NAV!B2680-1,"")</f>
        <v/>
      </c>
      <c r="C2680">
        <f>IFERROR(NAV!C2681/NAV!C2680-1,"")</f>
        <v/>
      </c>
    </row>
    <row r="2681">
      <c r="A2681">
        <f>NAV!A2682</f>
        <v/>
      </c>
      <c r="B2681">
        <f>IFERROR(NAV!B2682/NAV!B2681-1,"")</f>
        <v/>
      </c>
      <c r="C2681">
        <f>IFERROR(NAV!C2682/NAV!C2681-1,"")</f>
        <v/>
      </c>
    </row>
    <row r="2682">
      <c r="A2682">
        <f>NAV!A2683</f>
        <v/>
      </c>
      <c r="B2682">
        <f>IFERROR(NAV!B2683/NAV!B2682-1,"")</f>
        <v/>
      </c>
      <c r="C2682">
        <f>IFERROR(NAV!C2683/NAV!C2682-1,"")</f>
        <v/>
      </c>
    </row>
    <row r="2683">
      <c r="A2683">
        <f>NAV!A2684</f>
        <v/>
      </c>
      <c r="B2683">
        <f>IFERROR(NAV!B2684/NAV!B2683-1,"")</f>
        <v/>
      </c>
      <c r="C2683">
        <f>IFERROR(NAV!C2684/NAV!C2683-1,"")</f>
        <v/>
      </c>
    </row>
    <row r="2684">
      <c r="A2684">
        <f>NAV!A2685</f>
        <v/>
      </c>
      <c r="B2684">
        <f>IFERROR(NAV!B2685/NAV!B2684-1,"")</f>
        <v/>
      </c>
      <c r="C2684">
        <f>IFERROR(NAV!C2685/NAV!C2684-1,"")</f>
        <v/>
      </c>
    </row>
    <row r="2685">
      <c r="A2685">
        <f>NAV!A2686</f>
        <v/>
      </c>
      <c r="B2685">
        <f>IFERROR(NAV!B2686/NAV!B2685-1,"")</f>
        <v/>
      </c>
      <c r="C2685">
        <f>IFERROR(NAV!C2686/NAV!C2685-1,"")</f>
        <v/>
      </c>
    </row>
    <row r="2686">
      <c r="A2686">
        <f>NAV!A2687</f>
        <v/>
      </c>
      <c r="B2686">
        <f>IFERROR(NAV!B2687/NAV!B2686-1,"")</f>
        <v/>
      </c>
      <c r="C2686">
        <f>IFERROR(NAV!C2687/NAV!C2686-1,"")</f>
        <v/>
      </c>
    </row>
    <row r="2687">
      <c r="A2687">
        <f>NAV!A2688</f>
        <v/>
      </c>
      <c r="B2687">
        <f>IFERROR(NAV!B2688/NAV!B2687-1,"")</f>
        <v/>
      </c>
      <c r="C2687">
        <f>IFERROR(NAV!C2688/NAV!C2687-1,"")</f>
        <v/>
      </c>
    </row>
    <row r="2688">
      <c r="A2688">
        <f>NAV!A2689</f>
        <v/>
      </c>
      <c r="B2688">
        <f>IFERROR(NAV!B2689/NAV!B2688-1,"")</f>
        <v/>
      </c>
      <c r="C2688">
        <f>IFERROR(NAV!C2689/NAV!C2688-1,"")</f>
        <v/>
      </c>
    </row>
    <row r="2689">
      <c r="A2689">
        <f>NAV!A2690</f>
        <v/>
      </c>
      <c r="B2689">
        <f>IFERROR(NAV!B2690/NAV!B2689-1,"")</f>
        <v/>
      </c>
      <c r="C2689">
        <f>IFERROR(NAV!C2690/NAV!C2689-1,"")</f>
        <v/>
      </c>
    </row>
    <row r="2690">
      <c r="A2690">
        <f>NAV!A2691</f>
        <v/>
      </c>
      <c r="B2690">
        <f>IFERROR(NAV!B2691/NAV!B2690-1,"")</f>
        <v/>
      </c>
      <c r="C2690">
        <f>IFERROR(NAV!C2691/NAV!C2690-1,"")</f>
        <v/>
      </c>
    </row>
    <row r="2691">
      <c r="A2691">
        <f>NAV!A2692</f>
        <v/>
      </c>
      <c r="B2691">
        <f>IFERROR(NAV!B2692/NAV!B2691-1,"")</f>
        <v/>
      </c>
      <c r="C2691">
        <f>IFERROR(NAV!C2692/NAV!C2691-1,"")</f>
        <v/>
      </c>
    </row>
    <row r="2692">
      <c r="A2692">
        <f>NAV!A2693</f>
        <v/>
      </c>
      <c r="B2692">
        <f>IFERROR(NAV!B2693/NAV!B2692-1,"")</f>
        <v/>
      </c>
      <c r="C2692">
        <f>IFERROR(NAV!C2693/NAV!C2692-1,"")</f>
        <v/>
      </c>
    </row>
    <row r="2693">
      <c r="A2693">
        <f>NAV!A2694</f>
        <v/>
      </c>
      <c r="B2693">
        <f>IFERROR(NAV!B2694/NAV!B2693-1,"")</f>
        <v/>
      </c>
      <c r="C2693">
        <f>IFERROR(NAV!C2694/NAV!C2693-1,"")</f>
        <v/>
      </c>
    </row>
    <row r="2694">
      <c r="A2694">
        <f>NAV!A2695</f>
        <v/>
      </c>
      <c r="B2694">
        <f>IFERROR(NAV!B2695/NAV!B2694-1,"")</f>
        <v/>
      </c>
      <c r="C2694">
        <f>IFERROR(NAV!C2695/NAV!C2694-1,"")</f>
        <v/>
      </c>
    </row>
    <row r="2695">
      <c r="A2695">
        <f>NAV!A2696</f>
        <v/>
      </c>
      <c r="B2695">
        <f>IFERROR(NAV!B2696/NAV!B2695-1,"")</f>
        <v/>
      </c>
      <c r="C2695">
        <f>IFERROR(NAV!C2696/NAV!C2695-1,"")</f>
        <v/>
      </c>
    </row>
    <row r="2696">
      <c r="A2696">
        <f>NAV!A2697</f>
        <v/>
      </c>
      <c r="B2696">
        <f>IFERROR(NAV!B2697/NAV!B2696-1,"")</f>
        <v/>
      </c>
      <c r="C2696">
        <f>IFERROR(NAV!C2697/NAV!C2696-1,"")</f>
        <v/>
      </c>
    </row>
    <row r="2697">
      <c r="A2697">
        <f>NAV!A2698</f>
        <v/>
      </c>
      <c r="B2697">
        <f>IFERROR(NAV!B2698/NAV!B2697-1,"")</f>
        <v/>
      </c>
      <c r="C2697">
        <f>IFERROR(NAV!C2698/NAV!C2697-1,"")</f>
        <v/>
      </c>
    </row>
    <row r="2698">
      <c r="A2698">
        <f>NAV!A2699</f>
        <v/>
      </c>
      <c r="B2698">
        <f>IFERROR(NAV!B2699/NAV!B2698-1,"")</f>
        <v/>
      </c>
      <c r="C2698">
        <f>IFERROR(NAV!C2699/NAV!C2698-1,"")</f>
        <v/>
      </c>
    </row>
    <row r="2699">
      <c r="A2699">
        <f>NAV!A2700</f>
        <v/>
      </c>
      <c r="B2699">
        <f>IFERROR(NAV!B2700/NAV!B2699-1,"")</f>
        <v/>
      </c>
      <c r="C2699">
        <f>IFERROR(NAV!C2700/NAV!C2699-1,"")</f>
        <v/>
      </c>
    </row>
    <row r="2700">
      <c r="A2700">
        <f>NAV!A2701</f>
        <v/>
      </c>
      <c r="B2700">
        <f>IFERROR(NAV!B2701/NAV!B2700-1,"")</f>
        <v/>
      </c>
      <c r="C2700">
        <f>IFERROR(NAV!C2701/NAV!C2700-1,"")</f>
        <v/>
      </c>
    </row>
    <row r="2701">
      <c r="A2701">
        <f>NAV!A2702</f>
        <v/>
      </c>
      <c r="B2701">
        <f>IFERROR(NAV!B2702/NAV!B2701-1,"")</f>
        <v/>
      </c>
      <c r="C2701">
        <f>IFERROR(NAV!C2702/NAV!C2701-1,"")</f>
        <v/>
      </c>
    </row>
    <row r="2702">
      <c r="A2702">
        <f>NAV!A2703</f>
        <v/>
      </c>
      <c r="B2702">
        <f>IFERROR(NAV!B2703/NAV!B2702-1,"")</f>
        <v/>
      </c>
      <c r="C2702">
        <f>IFERROR(NAV!C2703/NAV!C2702-1,"")</f>
        <v/>
      </c>
    </row>
    <row r="2703">
      <c r="A2703">
        <f>NAV!A2704</f>
        <v/>
      </c>
      <c r="B2703">
        <f>IFERROR(NAV!B2704/NAV!B2703-1,"")</f>
        <v/>
      </c>
      <c r="C2703">
        <f>IFERROR(NAV!C2704/NAV!C2703-1,"")</f>
        <v/>
      </c>
    </row>
    <row r="2704">
      <c r="A2704">
        <f>NAV!A2705</f>
        <v/>
      </c>
      <c r="B2704">
        <f>IFERROR(NAV!B2705/NAV!B2704-1,"")</f>
        <v/>
      </c>
      <c r="C2704">
        <f>IFERROR(NAV!C2705/NAV!C2704-1,"")</f>
        <v/>
      </c>
    </row>
    <row r="2705">
      <c r="A2705">
        <f>NAV!A2706</f>
        <v/>
      </c>
      <c r="B2705">
        <f>IFERROR(NAV!B2706/NAV!B2705-1,"")</f>
        <v/>
      </c>
      <c r="C2705">
        <f>IFERROR(NAV!C2706/NAV!C2705-1,"")</f>
        <v/>
      </c>
    </row>
    <row r="2706">
      <c r="A2706">
        <f>NAV!A2707</f>
        <v/>
      </c>
      <c r="B2706">
        <f>IFERROR(NAV!B2707/NAV!B2706-1,"")</f>
        <v/>
      </c>
      <c r="C2706">
        <f>IFERROR(NAV!C2707/NAV!C2706-1,"")</f>
        <v/>
      </c>
    </row>
    <row r="2707">
      <c r="A2707">
        <f>NAV!A2708</f>
        <v/>
      </c>
      <c r="B2707">
        <f>IFERROR(NAV!B2708/NAV!B2707-1,"")</f>
        <v/>
      </c>
      <c r="C2707">
        <f>IFERROR(NAV!C2708/NAV!C2707-1,"")</f>
        <v/>
      </c>
    </row>
    <row r="2708">
      <c r="A2708">
        <f>NAV!A2709</f>
        <v/>
      </c>
      <c r="B2708">
        <f>IFERROR(NAV!B2709/NAV!B2708-1,"")</f>
        <v/>
      </c>
      <c r="C2708">
        <f>IFERROR(NAV!C2709/NAV!C2708-1,"")</f>
        <v/>
      </c>
    </row>
    <row r="2709">
      <c r="A2709">
        <f>NAV!A2710</f>
        <v/>
      </c>
      <c r="B2709">
        <f>IFERROR(NAV!B2710/NAV!B2709-1,"")</f>
        <v/>
      </c>
      <c r="C2709">
        <f>IFERROR(NAV!C2710/NAV!C2709-1,"")</f>
        <v/>
      </c>
    </row>
    <row r="2710">
      <c r="A2710">
        <f>NAV!A2711</f>
        <v/>
      </c>
      <c r="B2710">
        <f>IFERROR(NAV!B2711/NAV!B2710-1,"")</f>
        <v/>
      </c>
      <c r="C2710">
        <f>IFERROR(NAV!C2711/NAV!C2710-1,"")</f>
        <v/>
      </c>
    </row>
    <row r="2711">
      <c r="A2711">
        <f>NAV!A2712</f>
        <v/>
      </c>
      <c r="B2711">
        <f>IFERROR(NAV!B2712/NAV!B2711-1,"")</f>
        <v/>
      </c>
      <c r="C2711">
        <f>IFERROR(NAV!C2712/NAV!C2711-1,"")</f>
        <v/>
      </c>
    </row>
    <row r="2712">
      <c r="A2712">
        <f>NAV!A2713</f>
        <v/>
      </c>
      <c r="B2712">
        <f>IFERROR(NAV!B2713/NAV!B2712-1,"")</f>
        <v/>
      </c>
      <c r="C2712">
        <f>IFERROR(NAV!C2713/NAV!C2712-1,"")</f>
        <v/>
      </c>
    </row>
    <row r="2713">
      <c r="A2713">
        <f>NAV!A2714</f>
        <v/>
      </c>
      <c r="B2713">
        <f>IFERROR(NAV!B2714/NAV!B2713-1,"")</f>
        <v/>
      </c>
      <c r="C2713">
        <f>IFERROR(NAV!C2714/NAV!C2713-1,"")</f>
        <v/>
      </c>
    </row>
    <row r="2714">
      <c r="A2714">
        <f>NAV!A2715</f>
        <v/>
      </c>
      <c r="B2714">
        <f>IFERROR(NAV!B2715/NAV!B2714-1,"")</f>
        <v/>
      </c>
      <c r="C2714">
        <f>IFERROR(NAV!C2715/NAV!C2714-1,"")</f>
        <v/>
      </c>
    </row>
    <row r="2715">
      <c r="A2715">
        <f>NAV!A2716</f>
        <v/>
      </c>
      <c r="B2715">
        <f>IFERROR(NAV!B2716/NAV!B2715-1,"")</f>
        <v/>
      </c>
      <c r="C2715">
        <f>IFERROR(NAV!C2716/NAV!C2715-1,"")</f>
        <v/>
      </c>
    </row>
    <row r="2716">
      <c r="A2716">
        <f>NAV!A2717</f>
        <v/>
      </c>
      <c r="B2716">
        <f>IFERROR(NAV!B2717/NAV!B2716-1,"")</f>
        <v/>
      </c>
      <c r="C2716">
        <f>IFERROR(NAV!C2717/NAV!C2716-1,"")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52" customWidth="1" min="1" max="1"/>
    <col width="20" customWidth="1" min="2" max="2"/>
    <col width="20" customWidth="1" min="3" max="3"/>
    <col width="30" customWidth="1" min="4" max="4"/>
    <col width="20" customWidth="1" min="5" max="5"/>
    <col width="14" customWidth="1" min="6" max="6"/>
    <col width="14" customWidth="1" min="7" max="7"/>
    <col width="20" customWidth="1" min="8" max="8"/>
    <col width="20" customWidth="1" min="9" max="9"/>
    <col width="14" customWidth="1" min="10" max="10"/>
  </cols>
  <sheetData>
    <row r="1">
      <c r="A1" s="3" t="inlineStr">
        <is>
          <t>WEIGHTS TAB VERIFICATION</t>
        </is>
      </c>
    </row>
    <row r="2">
      <c r="A2" s="4" t="inlineStr">
        <is>
          <t>Yellow cells are GIVEN (pasted from result.json) and are what the live formulas are checked against. Everything else is a formula chain rooted in NAV.</t>
        </is>
      </c>
    </row>
    <row r="4">
      <c r="A4" s="1" t="inlineStr">
        <is>
          <t>projId</t>
        </is>
      </c>
      <c r="B4" s="1" t="inlineStr">
        <is>
          <t>displayName</t>
        </is>
      </c>
      <c r="C4" s="1" t="inlineStr">
        <is>
          <t>given weight (result.json)</t>
        </is>
      </c>
      <c r="D4" s="1" t="inlineStr">
        <is>
          <t>mean monthly return (live)</t>
        </is>
      </c>
      <c r="E4" s="1" t="inlineStr">
        <is>
          <t>annualized return % (live)</t>
        </is>
      </c>
      <c r="F4" s="1" t="inlineStr">
        <is>
          <t>given assetSummary.expectedReturnPct</t>
        </is>
      </c>
      <c r="G4" s="1" t="inlineStr">
        <is>
          <t>diff</t>
        </is>
      </c>
      <c r="H4" s="1" t="inlineStr">
        <is>
          <t>annualized vol % (live)</t>
        </is>
      </c>
      <c r="I4" s="1" t="inlineStr">
        <is>
          <t>given assetSummary.volatilityPct</t>
        </is>
      </c>
      <c r="J4" s="1" t="inlineStr">
        <is>
          <t>diff</t>
        </is>
      </c>
    </row>
    <row r="5">
      <c r="A5" t="inlineStr">
        <is>
          <t>M0209_2548</t>
        </is>
      </c>
      <c r="B5" t="inlineStr">
        <is>
          <t>K-SET50</t>
        </is>
      </c>
      <c r="C5" s="5" t="n">
        <v>0.9749188597372281</v>
      </c>
      <c r="D5">
        <f>AVERAGE(Returns!$J$5:$J$7)</f>
        <v/>
      </c>
      <c r="E5">
        <f>D5*Returns!$G$10*100</f>
        <v/>
      </c>
      <c r="F5" s="6" t="n">
        <v>-0.35</v>
      </c>
      <c r="G5">
        <f>ROUND(E5,2)-F5</f>
        <v/>
      </c>
      <c r="H5">
        <f>STDEV(Returns!$J$5:$J$7)*SQRT(Returns!$G$10)*100</f>
        <v/>
      </c>
      <c r="I5" s="6" t="n">
        <v>4.21</v>
      </c>
      <c r="J5">
        <f>ROUND(H5,2)-I5</f>
        <v/>
      </c>
    </row>
    <row r="6">
      <c r="A6" t="inlineStr">
        <is>
          <t>M0155_2547</t>
        </is>
      </c>
      <c r="B6" t="inlineStr">
        <is>
          <t>M-S50</t>
        </is>
      </c>
      <c r="C6" s="5" t="n">
        <v>0.02508114026277171</v>
      </c>
      <c r="D6">
        <f>AVERAGE(Returns!$I$5:$I$7)</f>
        <v/>
      </c>
      <c r="E6">
        <f>D6*Returns!$G$10*100</f>
        <v/>
      </c>
      <c r="F6" s="6" t="n">
        <v>-11.92</v>
      </c>
      <c r="G6">
        <f>ROUND(E6,2)-F6</f>
        <v/>
      </c>
      <c r="H6">
        <f>STDEV(Returns!$I$5:$I$7)*SQRT(Returns!$G$10)*100</f>
        <v/>
      </c>
      <c r="I6" s="6" t="n">
        <v>9.640000000000001</v>
      </c>
      <c r="J6">
        <f>ROUND(H6,2)-I6</f>
        <v/>
      </c>
    </row>
    <row r="7">
      <c r="B7" s="7" t="inlineStr">
        <is>
          <t>sum of weights (must be 1)</t>
        </is>
      </c>
      <c r="C7">
        <f>SUM(C5:C6)</f>
        <v/>
      </c>
    </row>
    <row r="9">
      <c r="A9" s="7" t="inlineStr">
        <is>
          <t>Portfolio expected return</t>
        </is>
      </c>
    </row>
    <row r="10">
      <c r="A10" t="inlineStr">
        <is>
          <t>monthly (SUMPRODUCT of weights x mean returns)</t>
        </is>
      </c>
      <c r="C10">
        <f>SUMPRODUCT(C5:C6,D5:D6)</f>
        <v/>
      </c>
    </row>
    <row r="11">
      <c r="A11" t="inlineStr">
        <is>
          <t>annualized %</t>
        </is>
      </c>
      <c r="C11">
        <f>C10*Returns!$G$10*100</f>
        <v/>
      </c>
      <c r="D11" s="7" t="inlineStr">
        <is>
          <t>given optimalPoint.expectedReturnPct</t>
        </is>
      </c>
      <c r="E11" s="6" t="n">
        <v>-0.64</v>
      </c>
      <c r="F11">
        <f>ROUND(C11,2)-E11</f>
        <v/>
      </c>
    </row>
    <row r="13">
      <c r="A13" s="7" t="inlineStr">
        <is>
          <t>Covariance matrix Sigma (monthly, sample / ddof=1)</t>
        </is>
      </c>
    </row>
    <row r="14">
      <c r="A14" s="1" t="inlineStr"/>
      <c r="B14" s="1" t="inlineStr">
        <is>
          <t>M0209_2548</t>
        </is>
      </c>
      <c r="C14" s="1" t="inlineStr">
        <is>
          <t>M0155_2547</t>
        </is>
      </c>
    </row>
    <row r="15">
      <c r="A15" s="7" t="inlineStr">
        <is>
          <t>M0209_2548</t>
        </is>
      </c>
      <c r="B15">
        <f>VAR(Returns!$J$5:$J$7)</f>
        <v/>
      </c>
      <c r="C15">
        <f>SUMPRODUCT((Returns!$J$5:$J$7-AVERAGE(Returns!$J$5:$J$7))*(Returns!$I$5:$I$7-AVERAGE(Returns!$I$5:$I$7)))/(3-1)</f>
        <v/>
      </c>
    </row>
    <row r="16">
      <c r="A16" s="7" t="inlineStr">
        <is>
          <t>M0155_2547</t>
        </is>
      </c>
      <c r="B16">
        <f>SUMPRODUCT((Returns!$J$5:$J$7-AVERAGE(Returns!$J$5:$J$7))*(Returns!$I$5:$I$7-AVERAGE(Returns!$I$5:$I$7)))/(3-1)</f>
        <v/>
      </c>
      <c r="C16">
        <f>VAR(Returns!$I$5:$I$7)</f>
        <v/>
      </c>
    </row>
    <row r="18">
      <c r="A18" t="inlineStr">
        <is>
          <t>correlation (live)</t>
        </is>
      </c>
      <c r="C18">
        <f>$C$15/SQRT($B$15*$C$16)</f>
        <v/>
      </c>
      <c r="D18" s="7" t="inlineStr">
        <is>
          <t>given correlations[0].correlation</t>
        </is>
      </c>
      <c r="E18" s="6" t="n">
        <v>0.95</v>
      </c>
      <c r="F18">
        <f>ROUND(C18,2)-E18</f>
        <v/>
      </c>
    </row>
    <row r="20">
      <c r="A20" t="inlineStr">
        <is>
          <t>Portfolio variance (monthly) = w1^2*s11 + w2^2*s22 + 2*w1*w2*s12</t>
        </is>
      </c>
      <c r="C20">
        <f>C5^2*$B$15+C6^2*$C$16+2*C5*C6*$C$15</f>
        <v/>
      </c>
    </row>
    <row r="21">
      <c r="A21" t="inlineStr">
        <is>
          <t>Portfolio volatility (monthly) = SQRT(variance)</t>
        </is>
      </c>
      <c r="C21">
        <f>SQRT(C20)</f>
        <v/>
      </c>
    </row>
    <row r="22">
      <c r="A22" t="inlineStr">
        <is>
          <t>Portfolio volatility ANNUALIZED % = monthly*SQRT(12)*100</t>
        </is>
      </c>
      <c r="C22">
        <f>SQRT(C20)*SQRT(Returns!$G$10)*100</f>
        <v/>
      </c>
      <c r="D22" s="7" t="inlineStr">
        <is>
          <t>given selectedRiskMeasure.optimizedValue</t>
        </is>
      </c>
      <c r="E22" s="6" t="n">
        <v>4.33</v>
      </c>
      <c r="F22">
        <f>ROUND(C22,2)-E22</f>
        <v/>
      </c>
      <c r="G22">
        <f>IF(ABS(F22)&lt;0.005,"OK","MISMATCH")</f>
        <v/>
      </c>
    </row>
    <row r="24">
      <c r="A24" s="7" t="inlineStr">
        <is>
          <t>Risk contribution %</t>
        </is>
      </c>
    </row>
    <row r="25">
      <c r="A25" s="1" t="inlineStr">
        <is>
          <t>projId</t>
        </is>
      </c>
      <c r="B25" s="1" t="inlineStr">
        <is>
          <t>computed % (live)</t>
        </is>
      </c>
      <c r="C25" s="1" t="inlineStr">
        <is>
          <t>given riskContributionPct</t>
        </is>
      </c>
      <c r="D25" s="1" t="inlineStr">
        <is>
          <t>diff</t>
        </is>
      </c>
      <c r="E25" s="1" t="inlineStr">
        <is>
          <t>check (tolerance 0.005 = given is rounded to 2dp)</t>
        </is>
      </c>
    </row>
    <row r="26">
      <c r="A26" t="inlineStr">
        <is>
          <t>M0209_2548</t>
        </is>
      </c>
      <c r="B26">
        <f>C5*($B$15*C5+$C$15*C6)/C20*100</f>
        <v/>
      </c>
      <c r="C26" s="6" t="n">
        <v>94.67</v>
      </c>
      <c r="D26">
        <f>ROUND(B26,2)-C26</f>
        <v/>
      </c>
      <c r="E26">
        <f>IF(ABS(D26)&lt;0.005,"OK","MISMATCH")</f>
        <v/>
      </c>
    </row>
    <row r="27">
      <c r="A27" t="inlineStr">
        <is>
          <t>M0155_2547</t>
        </is>
      </c>
      <c r="B27">
        <f>C6*($C$15*C5+$C$16*C6)/C20*100</f>
        <v/>
      </c>
      <c r="C27" s="6" t="n">
        <v>5.33</v>
      </c>
      <c r="D27">
        <f>ROUND(B27,2)-C27</f>
        <v/>
      </c>
      <c r="E27">
        <f>IF(ABS(D27)&lt;0.005,"OK","MISMATCH")</f>
        <v/>
      </c>
    </row>
    <row r="29">
      <c r="A29" s="4" t="inlineStr">
        <is>
          <t>Tolerance is 0.005 rather than the brief's 1e-6 because result.json's reported values are rounded to 2 decimal places by the API layer; the computed side is rounded to 2dp before differencing, so an exact match shows as 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3" t="inlineStr">
        <is>
          <t>FRONTIER TAB VERIFICATION</t>
        </is>
      </c>
    </row>
    <row r="2">
      <c r="A2" s="4" t="inlineStr">
        <is>
          <t>Each frontier point's own weights are GIVEN; its volatility, expected return and Sharpe are recomputed live from the same Sigma/mu built on the Weights sheet (which is itself rooted in NAV).</t>
        </is>
      </c>
    </row>
    <row r="4">
      <c r="A4" s="1" t="inlineStr">
        <is>
          <t>point #</t>
        </is>
      </c>
      <c r="B4" s="1" t="inlineStr">
        <is>
          <t>w M0209_2548 (given)</t>
        </is>
      </c>
      <c r="C4" s="1" t="inlineStr">
        <is>
          <t>w M0155_2547 (given)</t>
        </is>
      </c>
      <c r="D4" s="1" t="inlineStr">
        <is>
          <t>volatility % (live)</t>
        </is>
      </c>
      <c r="E4" s="1" t="inlineStr">
        <is>
          <t>given volatilityPct</t>
        </is>
      </c>
      <c r="F4" s="1" t="inlineStr">
        <is>
          <t>diff</t>
        </is>
      </c>
      <c r="G4" s="1" t="inlineStr">
        <is>
          <t>expected return % (live)</t>
        </is>
      </c>
      <c r="H4" s="1" t="inlineStr">
        <is>
          <t>given expectedReturnPct</t>
        </is>
      </c>
      <c r="I4" s="1" t="inlineStr">
        <is>
          <t>diff</t>
        </is>
      </c>
      <c r="J4" s="1" t="inlineStr">
        <is>
          <t>sharpe (live)</t>
        </is>
      </c>
      <c r="K4" s="1" t="inlineStr">
        <is>
          <t>given sharpe</t>
        </is>
      </c>
      <c r="L4" s="1" t="inlineStr">
        <is>
          <t>diff</t>
        </is>
      </c>
      <c r="M4" s="1" t="inlineStr">
        <is>
          <t>check</t>
        </is>
      </c>
    </row>
    <row r="5">
      <c r="A5" t="n">
        <v>1</v>
      </c>
      <c r="B5" s="6" t="n">
        <v>1</v>
      </c>
      <c r="C5" s="6" t="n">
        <v>0</v>
      </c>
      <c r="D5">
        <f>SQRT(B5^2*Weights!$B$15+C5^2*Weights!$C$16+2*B5*C5*Weights!$C$15)*SQRT(Returns!$G$10)*100</f>
        <v/>
      </c>
      <c r="E5" s="6" t="n">
        <v>4.21</v>
      </c>
      <c r="F5">
        <f>ROUND(D5,2)-E5</f>
        <v/>
      </c>
      <c r="G5">
        <f>(B5*Weights!$D$5+C5*Weights!$D$6)*Returns!$G$10*100</f>
        <v/>
      </c>
      <c r="H5" s="6" t="n">
        <v>-0.35</v>
      </c>
      <c r="I5">
        <f>ROUND(G5,2)-H5</f>
        <v/>
      </c>
      <c r="J5">
        <f>(G5-Returns!$G$11)/D5</f>
        <v/>
      </c>
      <c r="K5" s="6" t="n">
        <v>-0.44</v>
      </c>
      <c r="L5">
        <f>ROUND(J5,2)-K5</f>
        <v/>
      </c>
      <c r="M5">
        <f>IF(AND(ABS(F5)&lt;0.005,ABS(I5)&lt;0.005,ABS(L5)&lt;0.005),"OK","MISMATCH")</f>
        <v/>
      </c>
    </row>
    <row r="7">
      <c r="A7" s="4" t="inlineStr">
        <is>
          <t>result.json's frontier holds a single point (100% M0209_2548) because maxHoldings=2 over a 2-fund universe with a 3-observation window collapses the efficient set. Sharpe uses the annualized excess return over riskFreeRatePct=1.5.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2" customWidth="1" min="1" max="1"/>
    <col width="34" customWidth="1" min="2" max="2"/>
    <col width="22" customWidth="1" min="3" max="3"/>
    <col width="26" customWidth="1" min="4" max="4"/>
    <col width="52" customWidth="1" min="5" max="5"/>
    <col width="12" customWidth="1" min="6" max="6"/>
  </cols>
  <sheetData>
    <row r="1">
      <c r="A1" s="3" t="inlineStr">
        <is>
          <t>PERFORMANCE TAB VERIFICATION</t>
        </is>
      </c>
    </row>
    <row r="2">
      <c r="A2" s="4" t="inlineStr">
        <is>
          <t>Formulas below are taken verbatim from docs/formula-reference.md: annualized_return R_ann = PRODUCT(1+r_t)^(m/n)-1; annualized_volatility sigma_ann = std(r_t, ddof=1)*SQRT(m); sortino_ratio sigma_down = SQRT(mean(min(r_t,0)^2))*SQRT(m), Sortino = (R_ann - R_f)/sigma_down with MAR=0; max_drawdown MDD = min(V_t/Peak_t - 1).</t>
        </is>
      </c>
    </row>
    <row r="4">
      <c r="A4" s="1" t="inlineStr">
        <is>
          <t>month_end</t>
        </is>
      </c>
      <c r="B4" s="1" t="inlineStr">
        <is>
          <t>portfolio return (live)</t>
        </is>
      </c>
      <c r="C4" s="1" t="inlineStr">
        <is>
          <t>given monthlyReturnsPct</t>
        </is>
      </c>
      <c r="D4" s="1" t="inlineStr">
        <is>
          <t>diff</t>
        </is>
      </c>
      <c r="E4" s="1" t="inlineStr">
        <is>
          <t>growth of 1 (V_t)</t>
        </is>
      </c>
      <c r="F4" s="1" t="inlineStr">
        <is>
          <t>running peak</t>
        </is>
      </c>
      <c r="G4" s="1" t="inlineStr">
        <is>
          <t>drawdown</t>
        </is>
      </c>
      <c r="H4" s="1" t="inlineStr">
        <is>
          <t>downside min(r,0)</t>
        </is>
      </c>
    </row>
    <row r="5">
      <c r="A5" t="inlineStr">
        <is>
          <t>start (2024-02-29)</t>
        </is>
      </c>
      <c r="E5" t="n">
        <v>1</v>
      </c>
      <c r="F5">
        <f>MAX($E$5:E5)</f>
        <v/>
      </c>
      <c r="G5">
        <f>E5/F5-1</f>
        <v/>
      </c>
    </row>
    <row r="6">
      <c r="A6">
        <f>Returns!F5</f>
        <v/>
      </c>
      <c r="B6">
        <f>Returns!J5*Weights!$C$5+Returns!I5*Weights!$C$6</f>
        <v/>
      </c>
      <c r="C6" s="6" t="n">
        <v>1.2</v>
      </c>
      <c r="D6">
        <f>ROUND(B6*100,2)-C6</f>
        <v/>
      </c>
      <c r="E6">
        <f>E5*(1+B6)</f>
        <v/>
      </c>
      <c r="F6">
        <f>MAX($E$5:E6)</f>
        <v/>
      </c>
      <c r="G6">
        <f>E6/F6-1</f>
        <v/>
      </c>
      <c r="H6">
        <f>MIN(B6,0)</f>
        <v/>
      </c>
    </row>
    <row r="7">
      <c r="A7">
        <f>Returns!F6</f>
        <v/>
      </c>
      <c r="B7">
        <f>Returns!J6*Weights!$C$5+Returns!I6*Weights!$C$6</f>
        <v/>
      </c>
      <c r="C7" s="6" t="n">
        <v>-0.06</v>
      </c>
      <c r="D7">
        <f>ROUND(B7*100,2)-C7</f>
        <v/>
      </c>
      <c r="E7">
        <f>E6*(1+B7)</f>
        <v/>
      </c>
      <c r="F7">
        <f>MAX($E$5:E7)</f>
        <v/>
      </c>
      <c r="G7">
        <f>E7/F7-1</f>
        <v/>
      </c>
      <c r="H7">
        <f>MIN(B7,0)</f>
        <v/>
      </c>
    </row>
    <row r="8">
      <c r="A8">
        <f>Returns!F7</f>
        <v/>
      </c>
      <c r="B8">
        <f>Returns!J7*Weights!$C$5+Returns!I7*Weights!$C$6</f>
        <v/>
      </c>
      <c r="C8" s="6" t="n">
        <v>-1.3</v>
      </c>
      <c r="D8">
        <f>ROUND(B8*100,2)-C8</f>
        <v/>
      </c>
      <c r="E8">
        <f>E7*(1+B8)</f>
        <v/>
      </c>
      <c r="F8">
        <f>MAX($E$5:E8)</f>
        <v/>
      </c>
      <c r="G8">
        <f>E8/F8-1</f>
        <v/>
      </c>
      <c r="H8">
        <f>MIN(B8,0)</f>
        <v/>
      </c>
    </row>
    <row r="10">
      <c r="A10" s="7" t="inlineStr">
        <is>
          <t>Metrics</t>
        </is>
      </c>
    </row>
    <row r="11">
      <c r="A11" s="1" t="inlineStr">
        <is>
          <t>metric</t>
        </is>
      </c>
      <c r="B11" s="1" t="inlineStr">
        <is>
          <t>formula-reference.md name</t>
        </is>
      </c>
      <c r="C11" s="1" t="inlineStr">
        <is>
          <t>computed (live)</t>
        </is>
      </c>
      <c r="D11" s="1" t="inlineStr">
        <is>
          <t>given performanceSummary[0]</t>
        </is>
      </c>
      <c r="E11" s="1" t="inlineStr">
        <is>
          <t>diff</t>
        </is>
      </c>
      <c r="F11" s="1" t="inlineStr">
        <is>
          <t>check</t>
        </is>
      </c>
    </row>
    <row r="12">
      <c r="A12" t="inlineStr">
        <is>
          <t>CAGR %</t>
        </is>
      </c>
      <c r="B12" t="inlineStr">
        <is>
          <t>annualized_return</t>
        </is>
      </c>
      <c r="C12">
        <f>($E$8^(Returns!$G$10/3)-1)*100</f>
        <v/>
      </c>
      <c r="D12" s="6" t="n">
        <v>-0.7</v>
      </c>
      <c r="E12">
        <f>ROUND(C12,2)-D12</f>
        <v/>
      </c>
      <c r="F12">
        <f>IF(ABS(E12)&lt;0.005,"OK","MISMATCH")</f>
        <v/>
      </c>
    </row>
    <row r="13">
      <c r="A13" t="inlineStr">
        <is>
          <t>Expected (arithmetic annualized) return %</t>
        </is>
      </c>
      <c r="B13" t="inlineStr">
        <is>
          <t>mean * m</t>
        </is>
      </c>
      <c r="C13">
        <f>AVERAGE($B$6:$B$8)*Returns!$G$10*100</f>
        <v/>
      </c>
      <c r="D13" s="6" t="n">
        <v>-0.64</v>
      </c>
      <c r="E13">
        <f>ROUND(C13,2)-D13</f>
        <v/>
      </c>
      <c r="F13">
        <f>IF(ABS(E13)&lt;0.005,"OK","MISMATCH")</f>
        <v/>
      </c>
    </row>
    <row r="14">
      <c r="A14" t="inlineStr">
        <is>
          <t>Annualized volatility %</t>
        </is>
      </c>
      <c r="B14" t="inlineStr">
        <is>
          <t>annualized_volatility</t>
        </is>
      </c>
      <c r="C14">
        <f>STDEV($B$6:$B$8)*SQRT(Returns!$G$10)*100</f>
        <v/>
      </c>
      <c r="D14" s="6" t="n">
        <v>4.33</v>
      </c>
      <c r="E14">
        <f>ROUND(C14,2)-D14</f>
        <v/>
      </c>
      <c r="F14">
        <f>IF(ABS(E14)&lt;0.005,"OK","MISMATCH")</f>
        <v/>
      </c>
    </row>
    <row r="15">
      <c r="A15" t="inlineStr">
        <is>
          <t>Max drawdown %</t>
        </is>
      </c>
      <c r="B15" t="inlineStr">
        <is>
          <t>max_drawdown</t>
        </is>
      </c>
      <c r="C15">
        <f>MIN($G$5:$G$8)*100</f>
        <v/>
      </c>
      <c r="D15" s="6" t="n">
        <v>-1.36</v>
      </c>
      <c r="E15">
        <f>ROUND(C15,2)-D15</f>
        <v/>
      </c>
      <c r="F15">
        <f>IF(ABS(E15)&lt;0.005,"OK","MISMATCH")</f>
        <v/>
      </c>
    </row>
    <row r="16">
      <c r="A16" t="inlineStr">
        <is>
          <t>Downside deviation % (sigma_down)</t>
        </is>
      </c>
      <c r="B16" t="inlineStr">
        <is>
          <t>sortino_ratio (MAR=0)</t>
        </is>
      </c>
      <c r="C16">
        <f>SQRT(SUMSQ($H$6:$H$8)/3)*SQRT(Returns!$G$10)*100</f>
        <v/>
      </c>
    </row>
    <row r="17">
      <c r="A17" t="inlineStr">
        <is>
          <t>Sharpe ex-post</t>
        </is>
      </c>
      <c r="B17" t="inlineStr">
        <is>
          <t>(R_ann - R_f)/sigma_ann</t>
        </is>
      </c>
      <c r="C17">
        <f>(C12-Returns!$G$11)/C14</f>
        <v/>
      </c>
      <c r="D17" s="6" t="n">
        <v>-0.51</v>
      </c>
      <c r="E17">
        <f>ROUND(C17,2)-D17</f>
        <v/>
      </c>
      <c r="F17">
        <f>IF(ABS(E17)&lt;0.005,"OK","MISMATCH")</f>
        <v/>
      </c>
    </row>
    <row r="18">
      <c r="A18" t="inlineStr">
        <is>
          <t>Sharpe ex-ante</t>
        </is>
      </c>
      <c r="B18" t="inlineStr">
        <is>
          <t>(mean_ann - R_f)/sigma_ann</t>
        </is>
      </c>
      <c r="C18">
        <f>(C13-Returns!$G$11)/C14</f>
        <v/>
      </c>
      <c r="D18" s="6" t="n">
        <v>-0.49</v>
      </c>
      <c r="E18">
        <f>ROUND(C18,2)-D18</f>
        <v/>
      </c>
      <c r="F18">
        <f>IF(ABS(E18)&lt;0.005,"OK","MISMATCH")</f>
        <v/>
      </c>
    </row>
    <row r="19">
      <c r="A19" t="inlineStr">
        <is>
          <t>Sortino</t>
        </is>
      </c>
      <c r="B19" t="inlineStr">
        <is>
          <t>(R_ann - R_f)/sigma_down</t>
        </is>
      </c>
      <c r="C19">
        <f>(C12-Returns!$G$11)/C16</f>
        <v/>
      </c>
      <c r="D19" s="6" t="n">
        <v>-0.85</v>
      </c>
      <c r="E19">
        <f>ROUND(C19,2)-D19</f>
        <v/>
      </c>
      <c r="F19">
        <f>IF(ABS(E19)&lt;0.005,"OK","MISMATCH")</f>
        <v/>
      </c>
    </row>
    <row r="20">
      <c r="A20" t="inlineStr">
        <is>
          <t>bestYearPct</t>
        </is>
      </c>
      <c r="B20" t="inlineStr">
        <is>
          <t>n/a</t>
        </is>
      </c>
      <c r="C20" t="inlineStr">
        <is>
          <t>not computable</t>
        </is>
      </c>
      <c r="D20" s="6" t="inlineStr">
        <is>
          <t>null</t>
        </is>
      </c>
      <c r="E20" t="inlineStr">
        <is>
          <t>correctly null - undefined for this short a window (3 monthly observations, &lt; 1 calendar year)</t>
        </is>
      </c>
      <c r="F20" t="inlineStr">
        <is>
          <t>OK</t>
        </is>
      </c>
    </row>
    <row r="21">
      <c r="A21" t="inlineStr">
        <is>
          <t>worstYearPct</t>
        </is>
      </c>
      <c r="B21" t="inlineStr">
        <is>
          <t>n/a</t>
        </is>
      </c>
      <c r="C21" t="inlineStr">
        <is>
          <t>not computable</t>
        </is>
      </c>
      <c r="D21" s="6" t="inlineStr">
        <is>
          <t>null</t>
        </is>
      </c>
      <c r="E21" t="inlineStr">
        <is>
          <t>correctly null - undefined for this short a window (3 monthly observations, &lt; 1 calendar year)</t>
        </is>
      </c>
      <c r="F21"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44" customWidth="1" min="2" max="2"/>
    <col width="120" customWidth="1" min="3" max="3"/>
  </cols>
  <sheetData>
    <row r="1">
      <c r="A1" s="3" t="inlineStr">
        <is>
          <t>ROLLING TAB VERIFICATION</t>
        </is>
      </c>
    </row>
    <row r="3">
      <c r="A3" s="1" t="inlineStr">
        <is>
          <t>fold</t>
        </is>
      </c>
      <c r="B3" s="1" t="inlineStr">
        <is>
          <t>status</t>
        </is>
      </c>
      <c r="C3" s="1" t="inlineStr">
        <is>
          <t>explanation</t>
        </is>
      </c>
    </row>
    <row r="4">
      <c r="A4" t="inlineStr">
        <is>
          <t>(none)</t>
        </is>
      </c>
      <c r="B4" t="inlineStr">
        <is>
          <t>0 folds returned - EXPECTED, not a defect</t>
        </is>
      </c>
      <c r="C4" s="8" t="inlineStr">
        <is>
          <t>result.json's `rolling` array is empty. The request spans 2024-02-29 to 2024-05-31 (3 monthly return observations) while constraints.lookbackPeriodMonths = 12 with rollingWindowMode = 'expanding'. A 12-month lookback cannot be satisfied even once inside a ~4-month window, so no fold can be formed, let alone the 2 folds the engine requires. The backend says the same thing in result.robustNote: Rolling validation unavailable: not enough history for at least 2 folds at the selected frequency.</t>
        </is>
      </c>
    </row>
    <row r="6">
      <c r="A6" s="4" t="inlineStr">
        <is>
          <t>Nothing to recompute here: there is no fold data to check against. The verification performed on this sheet is that the empty array is the arithmetically correct outcome of the request's own parameters.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6" customWidth="1" min="1" max="1"/>
    <col width="46" customWidth="1" min="2" max="2"/>
    <col width="82" customWidth="1" min="3" max="3"/>
    <col width="16" customWidth="1" min="4" max="4"/>
  </cols>
  <sheetData>
    <row r="1">
      <c r="A1" s="3" t="inlineStr">
        <is>
          <t>REPORT TAB — CROSS-SHEET INTERNAL CONSISTENCY</t>
        </is>
      </c>
    </row>
    <row r="2">
      <c r="A2" s="4" t="inlineStr">
        <is>
          <t>Not a new computation: each row asserts that a top-level scalar in result.json agrees with what the live formulas on the earlier sheets produce, or with the request that generated it.</t>
        </is>
      </c>
    </row>
    <row r="4">
      <c r="A4" s="1" t="inlineStr">
        <is>
          <t>field</t>
        </is>
      </c>
      <c r="B4" s="1" t="inlineStr">
        <is>
          <t>given (result.json)</t>
        </is>
      </c>
      <c r="C4" s="1" t="inlineStr">
        <is>
          <t>cross-reference</t>
        </is>
      </c>
      <c r="D4" s="1" t="inlineStr">
        <is>
          <t>check</t>
        </is>
      </c>
    </row>
    <row r="5">
      <c r="A5" t="inlineStr">
        <is>
          <t>feasibility</t>
        </is>
      </c>
      <c r="B5" s="6" t="inlineStr">
        <is>
          <t>ok</t>
        </is>
      </c>
      <c r="C5" s="8" t="inlineStr">
        <is>
          <t>weights sum to 1 and all weights within [minWeightPct, maxWeightPct] = [0, 100]</t>
        </is>
      </c>
      <c r="D5">
        <f>IF(AND(ABS(Weights!C7-1)&lt;0.000001,Weights!C5&gt;=0,Weights!C5&lt;=1,Weights!C6&gt;=0,Weights!C6&lt;=1),"OK","MISMATCH")</f>
        <v/>
      </c>
    </row>
    <row r="6">
      <c r="A6" t="inlineStr">
        <is>
          <t>selectedRiskMeasure.measure</t>
        </is>
      </c>
      <c r="B6" s="6" t="inlineStr">
        <is>
          <t>std_dev</t>
        </is>
      </c>
      <c r="C6" s="8" t="inlineStr">
        <is>
          <t>request.riskMeasure = std_dev</t>
        </is>
      </c>
      <c r="D6">
        <f>IF(B6="std_dev","OK","MISMATCH")</f>
        <v/>
      </c>
    </row>
    <row r="7">
      <c r="A7" t="inlineStr">
        <is>
          <t>selectedRiskMeasure.optimizedValue</t>
        </is>
      </c>
      <c r="B7" s="6" t="n">
        <v>4.33</v>
      </c>
      <c r="C7" s="8">
        <f>Weights!C22</f>
        <v/>
      </c>
      <c r="D7">
        <f>IF(ABS(ROUND(C7,2)-B7)&lt;0.005,"OK","MISMATCH")</f>
        <v/>
      </c>
    </row>
    <row r="8">
      <c r="A8" t="inlineStr">
        <is>
          <t>optimalPoint.volatilityPct</t>
        </is>
      </c>
      <c r="B8" s="6" t="n">
        <v>4.33</v>
      </c>
      <c r="C8" s="8">
        <f>Weights!C22</f>
        <v/>
      </c>
      <c r="D8">
        <f>IF(ABS(ROUND(C8,2)-B8)&lt;0.005,"OK","MISMATCH")</f>
        <v/>
      </c>
    </row>
    <row r="9">
      <c r="A9" t="inlineStr">
        <is>
          <t>optimalPoint.expectedReturnPct</t>
        </is>
      </c>
      <c r="B9" s="6" t="n">
        <v>-0.64</v>
      </c>
      <c r="C9" s="8">
        <f>Weights!C11</f>
        <v/>
      </c>
      <c r="D9">
        <f>IF(ABS(ROUND(C9,2)-B9)&lt;0.005,"OK","MISMATCH")</f>
        <v/>
      </c>
    </row>
    <row r="10">
      <c r="A10" t="inlineStr">
        <is>
          <t>gmvPoint.volatilityPct</t>
        </is>
      </c>
      <c r="B10" s="6" t="n">
        <v>4.21</v>
      </c>
      <c r="C10" s="8">
        <f>Frontier!D5</f>
        <v/>
      </c>
      <c r="D10">
        <f>IF(ABS(ROUND(C10,2)-B10)&lt;0.005,"OK","MISMATCH")</f>
        <v/>
      </c>
    </row>
    <row r="11">
      <c r="A11" t="inlineStr">
        <is>
          <t>tangencyPoint.volatilityPct</t>
        </is>
      </c>
      <c r="B11" s="6" t="n">
        <v>4.21</v>
      </c>
      <c r="C11" s="8">
        <f>Frontier!D5</f>
        <v/>
      </c>
      <c r="D11">
        <f>IF(ABS(ROUND(C11,2)-B11)&lt;0.005,"OK","MISMATCH")</f>
        <v/>
      </c>
    </row>
    <row r="12">
      <c r="A12" t="inlineStr">
        <is>
          <t>totalTurnoverPct</t>
        </is>
      </c>
      <c r="B12" s="6" t="n">
        <v>50</v>
      </c>
      <c r="C12" s="8">
        <f>0.5*(ABS(Weights!C5)+ABS(Weights!C6))*100</f>
        <v/>
      </c>
      <c r="D12">
        <f>IF(ABS(0.5*(ABS(Weights!C5)+ABS(Weights!C6))*100-B12)&lt;0.005,"OK","MISMATCH")</f>
        <v/>
      </c>
      <c r="E12" s="2" t="inlineStr">
        <is>
          <t>turnover = 0.5 * sum|w_target - w_current|; request.currentWeightPct is {} so every current weight is 0, giving 0.5 * 100% = 50%</t>
        </is>
      </c>
    </row>
    <row r="13">
      <c r="A13" t="inlineStr">
        <is>
          <t>generatedAt</t>
        </is>
      </c>
      <c r="B13" s="6" t="inlineStr">
        <is>
          <t>2026-08-11T14:42:30Z</t>
        </is>
      </c>
      <c r="C13" s="8" t="inlineStr">
        <is>
          <t>run timestamp; nothing to recompute</t>
        </is>
      </c>
      <c r="D13" t="inlineStr">
        <is>
          <t>n/a</t>
        </is>
      </c>
    </row>
    <row r="14">
      <c r="A14" t="inlineStr">
        <is>
          <t>robustNote</t>
        </is>
      </c>
      <c r="B14" s="6" t="inlineStr">
        <is>
          <t>Rolling validation unavailable: not enough history for at least 2 folds at the selected frequency.</t>
        </is>
      </c>
      <c r="C14" s="8" t="inlineStr">
        <is>
          <t>see Rolling sheet - 0 folds is arithmetically forced by lookbackPeriodMonths=12 over a 3-observation window</t>
        </is>
      </c>
      <c r="D14" t="inlineStr">
        <is>
          <t>OK</t>
        </is>
      </c>
    </row>
    <row r="15">
      <c r="A15" t="inlineStr">
        <is>
          <t>feasibilityMessage</t>
        </is>
      </c>
      <c r="B15" s="6" t="inlineStr">
        <is>
          <t>null</t>
        </is>
      </c>
      <c r="C15" s="8" t="inlineStr">
        <is>
          <t>null expected: compareAgainst='none', groupConstraintsEnabled=false, robustOptimization=false</t>
        </is>
      </c>
      <c r="D15" t="inlineStr">
        <is>
          <t>OK</t>
        </is>
      </c>
    </row>
    <row r="16">
      <c r="A16" t="inlineStr">
        <is>
          <t>compareNote</t>
        </is>
      </c>
      <c r="B16" s="6" t="inlineStr">
        <is>
          <t>null</t>
        </is>
      </c>
      <c r="C16" s="8" t="inlineStr">
        <is>
          <t>null expected: compareAgainst='none', groupConstraintsEnabled=false, robustOptimization=false</t>
        </is>
      </c>
      <c r="D16" t="inlineStr">
        <is>
          <t>OK</t>
        </is>
      </c>
    </row>
    <row r="17">
      <c r="A17" t="inlineStr">
        <is>
          <t>constraintNote</t>
        </is>
      </c>
      <c r="B17" s="6" t="inlineStr">
        <is>
          <t>null</t>
        </is>
      </c>
      <c r="C17" s="8" t="inlineStr">
        <is>
          <t>null expected: compareAgainst='none', groupConstraintsEnabled=false, robustOptimization=false</t>
        </is>
      </c>
      <c r="D17" t="inlineStr">
        <is>
          <t>OK</t>
        </is>
      </c>
    </row>
    <row r="18">
      <c r="A18" t="inlineStr">
        <is>
          <t>robustOptimizationNote</t>
        </is>
      </c>
      <c r="B18" s="6" t="inlineStr">
        <is>
          <t>null</t>
        </is>
      </c>
      <c r="C18" s="8" t="inlineStr">
        <is>
          <t>null expected: compareAgainst='none', groupConstraintsEnabled=false, robustOptimization=false</t>
        </is>
      </c>
      <c r="D18"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64" customWidth="1" min="1" max="1"/>
    <col width="26" customWidth="1" min="2" max="2"/>
    <col width="26" customWidth="1" min="3" max="3"/>
    <col width="26" customWidth="1" min="4" max="4"/>
    <col width="34" customWidth="1" min="5" max="5"/>
    <col width="46" customWidth="1" min="6" max="6"/>
  </cols>
  <sheetData>
    <row r="1">
      <c r="A1" s="3" t="inlineStr">
        <is>
          <t>FULL SOLVE REPLICATION — closed-form 2-asset tangency portfolio</t>
        </is>
      </c>
    </row>
    <row r="2">
      <c r="A2" s="4" t="inlineStr">
        <is>
          <t>This is the only sheet that re-derives the WEIGHTS themselves rather than the reporting layer. Inputs: mu and Sigma from the Weights sheet (which are live from NAV). result.json is used only in the yellow comparison column.</t>
        </is>
      </c>
    </row>
    <row r="4">
      <c r="A4" s="1" t="inlineStr">
        <is>
          <t>quantity</t>
        </is>
      </c>
      <c r="B4" s="1" t="inlineStr">
        <is>
          <t>M0209_2548</t>
        </is>
      </c>
      <c r="C4" s="1" t="inlineStr">
        <is>
          <t>M0155_2547</t>
        </is>
      </c>
    </row>
    <row r="5">
      <c r="A5" t="inlineStr">
        <is>
          <t>mean monthly return mu (live)</t>
        </is>
      </c>
      <c r="B5">
        <f>Weights!D5</f>
        <v/>
      </c>
      <c r="C5">
        <f>Weights!D6</f>
        <v/>
      </c>
    </row>
    <row r="6">
      <c r="A6" t="inlineStr">
        <is>
          <t>monthly risk-free r_f = riskFreeRatePct/100/12</t>
        </is>
      </c>
      <c r="B6">
        <f>Returns!$G$11/100/Returns!$G$10</f>
        <v/>
      </c>
    </row>
    <row r="7">
      <c r="A7" t="inlineStr">
        <is>
          <t>excess return mu - r_f</t>
        </is>
      </c>
      <c r="B7">
        <f>B5-$B$6</f>
        <v/>
      </c>
      <c r="C7">
        <f>C5-$B$6</f>
        <v/>
      </c>
    </row>
    <row r="9">
      <c r="A9" s="7" t="inlineStr">
        <is>
          <t>Sigma (monthly, from Weights sheet)</t>
        </is>
      </c>
    </row>
    <row r="10">
      <c r="A10" t="inlineStr">
        <is>
          <t>s11</t>
        </is>
      </c>
      <c r="B10">
        <f>Weights!$B$15</f>
        <v/>
      </c>
    </row>
    <row r="11">
      <c r="A11" t="inlineStr">
        <is>
          <t>s12</t>
        </is>
      </c>
      <c r="B11">
        <f>Weights!$C$15</f>
        <v/>
      </c>
    </row>
    <row r="12">
      <c r="A12" t="inlineStr">
        <is>
          <t>s22</t>
        </is>
      </c>
      <c r="B12">
        <f>Weights!$C$16</f>
        <v/>
      </c>
    </row>
    <row r="13">
      <c r="A13" t="inlineStr">
        <is>
          <t>det(Sigma) = s11*s22 - s12^2</t>
        </is>
      </c>
      <c r="B13">
        <f>$B$10*$B$12-$B$11^2</f>
        <v/>
      </c>
    </row>
    <row r="15">
      <c r="A15" s="7" t="inlineStr">
        <is>
          <t>Unnormalized tangency weights u = Sigma^-1 * (mu - r_f), closed-form 2x2 inverse</t>
        </is>
      </c>
    </row>
    <row r="16">
      <c r="A16" t="inlineStr">
        <is>
          <t>u1 = ( s22*e1 - s12*e2) / det</t>
        </is>
      </c>
      <c r="B16">
        <f>($B$12*B7-$B$11*C7)/$B$13</f>
        <v/>
      </c>
    </row>
    <row r="17">
      <c r="A17" t="inlineStr">
        <is>
          <t>u2 = (-s12*e1 + s11*e2) / det</t>
        </is>
      </c>
      <c r="B17">
        <f>(-$B$11*B7+$B$10*C7)/$B$13</f>
        <v/>
      </c>
    </row>
    <row r="18">
      <c r="A18" t="inlineStr">
        <is>
          <t>sum(u)</t>
        </is>
      </c>
      <c r="B18">
        <f>$B$16+$B$17</f>
        <v/>
      </c>
    </row>
    <row r="20">
      <c r="A20" s="7" t="inlineStr">
        <is>
          <t>Cross-check with Excel array functions (spills in Excel 365 / CSE in legacy Excel)</t>
        </is>
      </c>
    </row>
    <row r="21">
      <c r="A21" t="inlineStr">
        <is>
          <t>MMULT(MINVERSE(Sigma), excess)  [array formula in B]</t>
        </is>
      </c>
      <c r="B21">
        <f>MMULT(MINVERSE(Weights!$B$15:$C$16),TRANSPOSE(B7:C7))</f>
        <v/>
      </c>
      <c r="D21" s="2" t="inlineStr">
        <is>
          <t>should equal u1 (and u2 in the cell below when it spills)</t>
        </is>
      </c>
    </row>
    <row r="24">
      <c r="A24" s="1" t="inlineStr">
        <is>
          <t>projId</t>
        </is>
      </c>
      <c r="B24" s="1" t="inlineStr">
        <is>
          <t>closed-form normalized weight (live)</t>
        </is>
      </c>
      <c r="C24" s="1" t="inlineStr">
        <is>
          <t>given optimalWeights (result.json)</t>
        </is>
      </c>
      <c r="D24" s="1" t="inlineStr">
        <is>
          <t>diff</t>
        </is>
      </c>
      <c r="E24" s="1" t="inlineStr">
        <is>
          <t>match to 6 dp?</t>
        </is>
      </c>
    </row>
    <row r="25">
      <c r="A25" t="inlineStr">
        <is>
          <t>M0209_2548</t>
        </is>
      </c>
      <c r="B25">
        <f>$B$16/$B$18</f>
        <v/>
      </c>
      <c r="C25" s="6" t="n">
        <v>0.9749188597372281</v>
      </c>
      <c r="D25">
        <f>B25-C25</f>
        <v/>
      </c>
      <c r="E25">
        <f>IF(ABS(D25)&lt;0.000001,"MATCH","DIFFERS")</f>
        <v/>
      </c>
    </row>
    <row r="26">
      <c r="A26" t="inlineStr">
        <is>
          <t>M0155_2547</t>
        </is>
      </c>
      <c r="B26">
        <f>$B$17/$B$18</f>
        <v/>
      </c>
      <c r="C26" s="6" t="n">
        <v>0.02508114026277171</v>
      </c>
      <c r="D26">
        <f>B26-C26</f>
        <v/>
      </c>
      <c r="E26">
        <f>IF(ABS(D26)&lt;0.000001,"MATCH","DIFFERS")</f>
        <v/>
      </c>
    </row>
    <row r="28">
      <c r="A28" s="4" t="inlineStr">
        <is>
          <t>EXPECTED RESULT: DIFFERS. The closed-form tangency solution is UNCONSTRAINED and produces a short position, which the request forbids (constraints.longOnly = true, minWeightPct = 0). The grid below is the long-only comparison and is the meaningful check.</t>
        </is>
      </c>
    </row>
    <row r="31">
      <c r="A31" s="7" t="inlineStr">
        <is>
          <t>Long-only Sharpe grid — the constrained solve, brute-forced live in Excel</t>
        </is>
      </c>
    </row>
    <row r="32">
      <c r="A32" s="1" t="inlineStr">
        <is>
          <t>w(M0209_2548)</t>
        </is>
      </c>
      <c r="B32" s="1" t="inlineStr">
        <is>
          <t>w(M0155_2547)</t>
        </is>
      </c>
      <c r="C32" s="1" t="inlineStr">
        <is>
          <t>annualized return %</t>
        </is>
      </c>
      <c r="D32" s="1" t="inlineStr">
        <is>
          <t>annualized volatility %</t>
        </is>
      </c>
      <c r="E32" s="1" t="inlineStr">
        <is>
          <t>Sharpe (annualized, excess over 1.5%)</t>
        </is>
      </c>
    </row>
    <row r="33">
      <c r="A33" t="n">
        <v>0</v>
      </c>
      <c r="B33">
        <f>1-A33</f>
        <v/>
      </c>
      <c r="C33">
        <f>(A33*Weights!$D$5+B33*Weights!$D$6)*Returns!$G$10*100</f>
        <v/>
      </c>
      <c r="D33">
        <f>SQRT(A33^2*Weights!$B$15+B33^2*Weights!$C$16+2*A33*B33*Weights!$C$15)*SQRT(Returns!$G$10)*100</f>
        <v/>
      </c>
      <c r="E33">
        <f>(C33-Returns!$G$11)/D33</f>
        <v/>
      </c>
    </row>
    <row r="34">
      <c r="A34" t="n">
        <v>0.05</v>
      </c>
      <c r="B34">
        <f>1-A34</f>
        <v/>
      </c>
      <c r="C34">
        <f>(A34*Weights!$D$5+B34*Weights!$D$6)*Returns!$G$10*100</f>
        <v/>
      </c>
      <c r="D34">
        <f>SQRT(A34^2*Weights!$B$15+B34^2*Weights!$C$16+2*A34*B34*Weights!$C$15)*SQRT(Returns!$G$10)*100</f>
        <v/>
      </c>
      <c r="E34">
        <f>(C34-Returns!$G$11)/D34</f>
        <v/>
      </c>
    </row>
    <row r="35">
      <c r="A35" t="n">
        <v>0.1</v>
      </c>
      <c r="B35">
        <f>1-A35</f>
        <v/>
      </c>
      <c r="C35">
        <f>(A35*Weights!$D$5+B35*Weights!$D$6)*Returns!$G$10*100</f>
        <v/>
      </c>
      <c r="D35">
        <f>SQRT(A35^2*Weights!$B$15+B35^2*Weights!$C$16+2*A35*B35*Weights!$C$15)*SQRT(Returns!$G$10)*100</f>
        <v/>
      </c>
      <c r="E35">
        <f>(C35-Returns!$G$11)/D35</f>
        <v/>
      </c>
    </row>
    <row r="36">
      <c r="A36" t="n">
        <v>0.15</v>
      </c>
      <c r="B36">
        <f>1-A36</f>
        <v/>
      </c>
      <c r="C36">
        <f>(A36*Weights!$D$5+B36*Weights!$D$6)*Returns!$G$10*100</f>
        <v/>
      </c>
      <c r="D36">
        <f>SQRT(A36^2*Weights!$B$15+B36^2*Weights!$C$16+2*A36*B36*Weights!$C$15)*SQRT(Returns!$G$10)*100</f>
        <v/>
      </c>
      <c r="E36">
        <f>(C36-Returns!$G$11)/D36</f>
        <v/>
      </c>
    </row>
    <row r="37">
      <c r="A37" t="n">
        <v>0.2</v>
      </c>
      <c r="B37">
        <f>1-A37</f>
        <v/>
      </c>
      <c r="C37">
        <f>(A37*Weights!$D$5+B37*Weights!$D$6)*Returns!$G$10*100</f>
        <v/>
      </c>
      <c r="D37">
        <f>SQRT(A37^2*Weights!$B$15+B37^2*Weights!$C$16+2*A37*B37*Weights!$C$15)*SQRT(Returns!$G$10)*100</f>
        <v/>
      </c>
      <c r="E37">
        <f>(C37-Returns!$G$11)/D37</f>
        <v/>
      </c>
    </row>
    <row r="38">
      <c r="A38" t="n">
        <v>0.25</v>
      </c>
      <c r="B38">
        <f>1-A38</f>
        <v/>
      </c>
      <c r="C38">
        <f>(A38*Weights!$D$5+B38*Weights!$D$6)*Returns!$G$10*100</f>
        <v/>
      </c>
      <c r="D38">
        <f>SQRT(A38^2*Weights!$B$15+B38^2*Weights!$C$16+2*A38*B38*Weights!$C$15)*SQRT(Returns!$G$10)*100</f>
        <v/>
      </c>
      <c r="E38">
        <f>(C38-Returns!$G$11)/D38</f>
        <v/>
      </c>
    </row>
    <row r="39">
      <c r="A39" t="n">
        <v>0.3</v>
      </c>
      <c r="B39">
        <f>1-A39</f>
        <v/>
      </c>
      <c r="C39">
        <f>(A39*Weights!$D$5+B39*Weights!$D$6)*Returns!$G$10*100</f>
        <v/>
      </c>
      <c r="D39">
        <f>SQRT(A39^2*Weights!$B$15+B39^2*Weights!$C$16+2*A39*B39*Weights!$C$15)*SQRT(Returns!$G$10)*100</f>
        <v/>
      </c>
      <c r="E39">
        <f>(C39-Returns!$G$11)/D39</f>
        <v/>
      </c>
    </row>
    <row r="40">
      <c r="A40" t="n">
        <v>0.35</v>
      </c>
      <c r="B40">
        <f>1-A40</f>
        <v/>
      </c>
      <c r="C40">
        <f>(A40*Weights!$D$5+B40*Weights!$D$6)*Returns!$G$10*100</f>
        <v/>
      </c>
      <c r="D40">
        <f>SQRT(A40^2*Weights!$B$15+B40^2*Weights!$C$16+2*A40*B40*Weights!$C$15)*SQRT(Returns!$G$10)*100</f>
        <v/>
      </c>
      <c r="E40">
        <f>(C40-Returns!$G$11)/D40</f>
        <v/>
      </c>
    </row>
    <row r="41">
      <c r="A41" t="n">
        <v>0.4</v>
      </c>
      <c r="B41">
        <f>1-A41</f>
        <v/>
      </c>
      <c r="C41">
        <f>(A41*Weights!$D$5+B41*Weights!$D$6)*Returns!$G$10*100</f>
        <v/>
      </c>
      <c r="D41">
        <f>SQRT(A41^2*Weights!$B$15+B41^2*Weights!$C$16+2*A41*B41*Weights!$C$15)*SQRT(Returns!$G$10)*100</f>
        <v/>
      </c>
      <c r="E41">
        <f>(C41-Returns!$G$11)/D41</f>
        <v/>
      </c>
    </row>
    <row r="42">
      <c r="A42" t="n">
        <v>0.45</v>
      </c>
      <c r="B42">
        <f>1-A42</f>
        <v/>
      </c>
      <c r="C42">
        <f>(A42*Weights!$D$5+B42*Weights!$D$6)*Returns!$G$10*100</f>
        <v/>
      </c>
      <c r="D42">
        <f>SQRT(A42^2*Weights!$B$15+B42^2*Weights!$C$16+2*A42*B42*Weights!$C$15)*SQRT(Returns!$G$10)*100</f>
        <v/>
      </c>
      <c r="E42">
        <f>(C42-Returns!$G$11)/D42</f>
        <v/>
      </c>
    </row>
    <row r="43">
      <c r="A43" t="n">
        <v>0.5</v>
      </c>
      <c r="B43">
        <f>1-A43</f>
        <v/>
      </c>
      <c r="C43">
        <f>(A43*Weights!$D$5+B43*Weights!$D$6)*Returns!$G$10*100</f>
        <v/>
      </c>
      <c r="D43">
        <f>SQRT(A43^2*Weights!$B$15+B43^2*Weights!$C$16+2*A43*B43*Weights!$C$15)*SQRT(Returns!$G$10)*100</f>
        <v/>
      </c>
      <c r="E43">
        <f>(C43-Returns!$G$11)/D43</f>
        <v/>
      </c>
    </row>
    <row r="44">
      <c r="A44" t="n">
        <v>0.55</v>
      </c>
      <c r="B44">
        <f>1-A44</f>
        <v/>
      </c>
      <c r="C44">
        <f>(A44*Weights!$D$5+B44*Weights!$D$6)*Returns!$G$10*100</f>
        <v/>
      </c>
      <c r="D44">
        <f>SQRT(A44^2*Weights!$B$15+B44^2*Weights!$C$16+2*A44*B44*Weights!$C$15)*SQRT(Returns!$G$10)*100</f>
        <v/>
      </c>
      <c r="E44">
        <f>(C44-Returns!$G$11)/D44</f>
        <v/>
      </c>
    </row>
    <row r="45">
      <c r="A45" t="n">
        <v>0.6</v>
      </c>
      <c r="B45">
        <f>1-A45</f>
        <v/>
      </c>
      <c r="C45">
        <f>(A45*Weights!$D$5+B45*Weights!$D$6)*Returns!$G$10*100</f>
        <v/>
      </c>
      <c r="D45">
        <f>SQRT(A45^2*Weights!$B$15+B45^2*Weights!$C$16+2*A45*B45*Weights!$C$15)*SQRT(Returns!$G$10)*100</f>
        <v/>
      </c>
      <c r="E45">
        <f>(C45-Returns!$G$11)/D45</f>
        <v/>
      </c>
    </row>
    <row r="46">
      <c r="A46" t="n">
        <v>0.65</v>
      </c>
      <c r="B46">
        <f>1-A46</f>
        <v/>
      </c>
      <c r="C46">
        <f>(A46*Weights!$D$5+B46*Weights!$D$6)*Returns!$G$10*100</f>
        <v/>
      </c>
      <c r="D46">
        <f>SQRT(A46^2*Weights!$B$15+B46^2*Weights!$C$16+2*A46*B46*Weights!$C$15)*SQRT(Returns!$G$10)*100</f>
        <v/>
      </c>
      <c r="E46">
        <f>(C46-Returns!$G$11)/D46</f>
        <v/>
      </c>
    </row>
    <row r="47">
      <c r="A47" t="n">
        <v>0.7</v>
      </c>
      <c r="B47">
        <f>1-A47</f>
        <v/>
      </c>
      <c r="C47">
        <f>(A47*Weights!$D$5+B47*Weights!$D$6)*Returns!$G$10*100</f>
        <v/>
      </c>
      <c r="D47">
        <f>SQRT(A47^2*Weights!$B$15+B47^2*Weights!$C$16+2*A47*B47*Weights!$C$15)*SQRT(Returns!$G$10)*100</f>
        <v/>
      </c>
      <c r="E47">
        <f>(C47-Returns!$G$11)/D47</f>
        <v/>
      </c>
    </row>
    <row r="48">
      <c r="A48" t="n">
        <v>0.75</v>
      </c>
      <c r="B48">
        <f>1-A48</f>
        <v/>
      </c>
      <c r="C48">
        <f>(A48*Weights!$D$5+B48*Weights!$D$6)*Returns!$G$10*100</f>
        <v/>
      </c>
      <c r="D48">
        <f>SQRT(A48^2*Weights!$B$15+B48^2*Weights!$C$16+2*A48*B48*Weights!$C$15)*SQRT(Returns!$G$10)*100</f>
        <v/>
      </c>
      <c r="E48">
        <f>(C48-Returns!$G$11)/D48</f>
        <v/>
      </c>
    </row>
    <row r="49">
      <c r="A49" t="n">
        <v>0.8</v>
      </c>
      <c r="B49">
        <f>1-A49</f>
        <v/>
      </c>
      <c r="C49">
        <f>(A49*Weights!$D$5+B49*Weights!$D$6)*Returns!$G$10*100</f>
        <v/>
      </c>
      <c r="D49">
        <f>SQRT(A49^2*Weights!$B$15+B49^2*Weights!$C$16+2*A49*B49*Weights!$C$15)*SQRT(Returns!$G$10)*100</f>
        <v/>
      </c>
      <c r="E49">
        <f>(C49-Returns!$G$11)/D49</f>
        <v/>
      </c>
    </row>
    <row r="50">
      <c r="A50" t="n">
        <v>0.85</v>
      </c>
      <c r="B50">
        <f>1-A50</f>
        <v/>
      </c>
      <c r="C50">
        <f>(A50*Weights!$D$5+B50*Weights!$D$6)*Returns!$G$10*100</f>
        <v/>
      </c>
      <c r="D50">
        <f>SQRT(A50^2*Weights!$B$15+B50^2*Weights!$C$16+2*A50*B50*Weights!$C$15)*SQRT(Returns!$G$10)*100</f>
        <v/>
      </c>
      <c r="E50">
        <f>(C50-Returns!$G$11)/D50</f>
        <v/>
      </c>
    </row>
    <row r="51">
      <c r="A51" t="n">
        <v>0.9</v>
      </c>
      <c r="B51">
        <f>1-A51</f>
        <v/>
      </c>
      <c r="C51">
        <f>(A51*Weights!$D$5+B51*Weights!$D$6)*Returns!$G$10*100</f>
        <v/>
      </c>
      <c r="D51">
        <f>SQRT(A51^2*Weights!$B$15+B51^2*Weights!$C$16+2*A51*B51*Weights!$C$15)*SQRT(Returns!$G$10)*100</f>
        <v/>
      </c>
      <c r="E51">
        <f>(C51-Returns!$G$11)/D51</f>
        <v/>
      </c>
    </row>
    <row r="52">
      <c r="A52" t="n">
        <v>0.95</v>
      </c>
      <c r="B52">
        <f>1-A52</f>
        <v/>
      </c>
      <c r="C52">
        <f>(A52*Weights!$D$5+B52*Weights!$D$6)*Returns!$G$10*100</f>
        <v/>
      </c>
      <c r="D52">
        <f>SQRT(A52^2*Weights!$B$15+B52^2*Weights!$C$16+2*A52*B52*Weights!$C$15)*SQRT(Returns!$G$10)*100</f>
        <v/>
      </c>
      <c r="E52">
        <f>(C52-Returns!$G$11)/D52</f>
        <v/>
      </c>
    </row>
    <row r="53">
      <c r="A53" t="n">
        <v>1</v>
      </c>
      <c r="B53">
        <f>1-A53</f>
        <v/>
      </c>
      <c r="C53">
        <f>(A53*Weights!$D$5+B53*Weights!$D$6)*Returns!$G$10*100</f>
        <v/>
      </c>
      <c r="D53">
        <f>SQRT(A53^2*Weights!$B$15+B53^2*Weights!$C$16+2*A53*B53*Weights!$C$15)*SQRT(Returns!$G$10)*100</f>
        <v/>
      </c>
      <c r="E53">
        <f>(C53-Returns!$G$11)/D53</f>
        <v/>
      </c>
    </row>
    <row r="54">
      <c r="A54">
        <f>Weights!C5</f>
        <v/>
      </c>
      <c r="B54">
        <f>Weights!C6</f>
        <v/>
      </c>
      <c r="C54">
        <f>(A54*Weights!$D$5+B54*Weights!$D$6)*Returns!$G$10*100</f>
        <v/>
      </c>
      <c r="D54">
        <f>SQRT(A54^2*Weights!$B$15+B54^2*Weights!$C$16+2*A54*B54*Weights!$C$15)*SQRT(Returns!$G$10)*100</f>
        <v/>
      </c>
      <c r="E54">
        <f>(C54-Returns!$G$11)/D54</f>
        <v/>
      </c>
      <c r="F54" s="2" t="inlineStr">
        <is>
          <t>&lt;- result.json's optimalWeights scored on the identical Sharpe formula</t>
        </is>
      </c>
    </row>
    <row r="56">
      <c r="A56" t="inlineStr">
        <is>
          <t>best Sharpe on the long-only grid</t>
        </is>
      </c>
      <c r="B56">
        <f>MAX(E33:E53)</f>
        <v/>
      </c>
    </row>
    <row r="57">
      <c r="A57" t="inlineStr">
        <is>
          <t>argmax w(M0209_2548) on the grid</t>
        </is>
      </c>
      <c r="B57">
        <f>INDEX(A33:A53,MATCH(B56,E33:E53,0))</f>
        <v/>
      </c>
    </row>
    <row r="58">
      <c r="A58" t="inlineStr">
        <is>
          <t>Sharpe of result.json's optimalWeights</t>
        </is>
      </c>
      <c r="B58">
        <f>E54</f>
        <v/>
      </c>
    </row>
    <row r="59">
      <c r="A59" t="inlineStr">
        <is>
          <t>grid best MINUS reported (positive =&gt; reported weights are NOT the long-only max-Sharpe point)</t>
        </is>
      </c>
      <c r="B59">
        <f>B56-B58</f>
        <v/>
      </c>
    </row>
    <row r="61">
      <c r="A61" s="4" t="inlineStr">
        <is>
          <t>FINDING: the grid maximum sits at w(M0209_2548) = 1.00 with Sharpe about -0.4396, while result.json's optimalWeights (97.49% / 2.51%) score about -0.4940 on the identical formula. Both funds have negative excess returns over the window, which makes the max-Sharpe objective degenerate; result.json's own frontier / tangencyPoint DO sit at the 100% corner, so the reporting layer and the solver disagree with each other. Flagged for Task 4 - this sheet is the evidence, not a diagnosis of the solver.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2026-08-11T15:38:55Z</dcterms:created>
  <dcterms:modified xsi:type="dcterms:W3CDTF">2026-08-11T15:38:55Z</dcterms:modified>
</cp:coreProperties>
</file>